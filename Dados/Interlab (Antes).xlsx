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\Desktop\Interlab\"/>
    </mc:Choice>
  </mc:AlternateContent>
  <xr:revisionPtr revIDLastSave="0" documentId="13_ncr:1_{EBA9DA87-3CCF-423F-BE13-E1C4B9FBFBD9}" xr6:coauthVersionLast="47" xr6:coauthVersionMax="47" xr10:uidLastSave="{00000000-0000-0000-0000-000000000000}"/>
  <bookViews>
    <workbookView xWindow="20370" yWindow="-120" windowWidth="29040" windowHeight="15720" tabRatio="685" xr2:uid="{A3795DAB-E664-451D-9665-55DD538099DC}"/>
  </bookViews>
  <sheets>
    <sheet name="Interlab Calculations" sheetId="1" r:id="rId1"/>
    <sheet name="Intra Lab" sheetId="3" r:id="rId2"/>
    <sheet name="Inter Lab " sheetId="2" r:id="rId3"/>
    <sheet name="Declaração de Precisão" sheetId="4" r:id="rId4"/>
  </sheets>
  <definedNames>
    <definedName name="_xlnm._FilterDatabase" localSheetId="1" hidden="1">'Intra Lab'!$A$4:$F$4</definedName>
    <definedName name="_xlnm.Print_Area" localSheetId="3">'Declaração de Precisão'!$A$1:$I$51</definedName>
    <definedName name="_xlnm.Print_Area" localSheetId="0">'Interlab Calculations'!$A$3:$AK$42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4" i="1" l="1"/>
  <c r="AJ30" i="1"/>
  <c r="AJ26" i="1"/>
  <c r="AJ22" i="1"/>
  <c r="AJ18" i="1"/>
  <c r="AJ14" i="1"/>
  <c r="AJ10" i="1"/>
  <c r="AJ6" i="1"/>
  <c r="AD34" i="1"/>
  <c r="E12" i="3" s="1"/>
  <c r="AD30" i="1"/>
  <c r="AD26" i="1"/>
  <c r="AD22" i="1"/>
  <c r="AD18" i="1"/>
  <c r="AD14" i="1"/>
  <c r="E7" i="3" s="1"/>
  <c r="AD10" i="1"/>
  <c r="AD6" i="1"/>
  <c r="E5" i="3" s="1"/>
  <c r="X34" i="1"/>
  <c r="X30" i="1"/>
  <c r="X26" i="1"/>
  <c r="X22" i="1"/>
  <c r="X18" i="1"/>
  <c r="X14" i="1"/>
  <c r="D7" i="3" s="1"/>
  <c r="X10" i="1"/>
  <c r="X6" i="1"/>
  <c r="D5" i="3" s="1"/>
  <c r="R34" i="1"/>
  <c r="C12" i="3" s="1"/>
  <c r="R30" i="1"/>
  <c r="R26" i="1"/>
  <c r="R22" i="1"/>
  <c r="R18" i="1"/>
  <c r="R14" i="1"/>
  <c r="R10" i="1"/>
  <c r="C6" i="3" s="1"/>
  <c r="R6" i="1"/>
  <c r="L34" i="1"/>
  <c r="B12" i="3" s="1"/>
  <c r="L30" i="1"/>
  <c r="L26" i="1"/>
  <c r="L22" i="1"/>
  <c r="L18" i="1"/>
  <c r="L14" i="1"/>
  <c r="L10" i="1"/>
  <c r="L6" i="1"/>
  <c r="B5" i="3" s="1"/>
  <c r="H41" i="1"/>
  <c r="A5" i="3"/>
  <c r="A6" i="3"/>
  <c r="A7" i="3"/>
  <c r="A8" i="3"/>
  <c r="A9" i="3"/>
  <c r="A10" i="3"/>
  <c r="A11" i="3"/>
  <c r="A12" i="3"/>
  <c r="A12" i="2"/>
  <c r="A11" i="2"/>
  <c r="A10" i="2"/>
  <c r="A9" i="2"/>
  <c r="A8" i="2"/>
  <c r="A7" i="2"/>
  <c r="A6" i="2"/>
  <c r="A5" i="2"/>
  <c r="AG34" i="1"/>
  <c r="AG30" i="1"/>
  <c r="AG26" i="1"/>
  <c r="AG22" i="1"/>
  <c r="AG18" i="1"/>
  <c r="AG14" i="1"/>
  <c r="AG10" i="1"/>
  <c r="AF34" i="1"/>
  <c r="AF30" i="1"/>
  <c r="AF26" i="1"/>
  <c r="AF38" i="1" s="1"/>
  <c r="AF22" i="1"/>
  <c r="AF18" i="1"/>
  <c r="AF14" i="1"/>
  <c r="AF10" i="1"/>
  <c r="AG6" i="1"/>
  <c r="AF6" i="1"/>
  <c r="AA34" i="1"/>
  <c r="AA30" i="1"/>
  <c r="AA26" i="1"/>
  <c r="AA22" i="1"/>
  <c r="AA18" i="1"/>
  <c r="AA14" i="1"/>
  <c r="AA10" i="1"/>
  <c r="AA6" i="1"/>
  <c r="Z34" i="1"/>
  <c r="Z30" i="1"/>
  <c r="Z26" i="1"/>
  <c r="Z22" i="1"/>
  <c r="Z18" i="1"/>
  <c r="Z14" i="1"/>
  <c r="Z10" i="1"/>
  <c r="Z6" i="1"/>
  <c r="U34" i="1"/>
  <c r="U30" i="1"/>
  <c r="U26" i="1"/>
  <c r="U22" i="1"/>
  <c r="U18" i="1"/>
  <c r="U14" i="1"/>
  <c r="U10" i="1"/>
  <c r="U6" i="1"/>
  <c r="T34" i="1"/>
  <c r="T30" i="1"/>
  <c r="T26" i="1"/>
  <c r="T22" i="1"/>
  <c r="T18" i="1"/>
  <c r="T14" i="1"/>
  <c r="T10" i="1"/>
  <c r="T6" i="1"/>
  <c r="T39" i="1"/>
  <c r="D6" i="4"/>
  <c r="O10" i="1"/>
  <c r="O14" i="1"/>
  <c r="O18" i="1"/>
  <c r="O22" i="1"/>
  <c r="O26" i="1"/>
  <c r="O30" i="1"/>
  <c r="O34" i="1"/>
  <c r="O6" i="1"/>
  <c r="N10" i="1"/>
  <c r="N14" i="1"/>
  <c r="N18" i="1"/>
  <c r="N22" i="1"/>
  <c r="N26" i="1"/>
  <c r="N30" i="1"/>
  <c r="N34" i="1"/>
  <c r="N6" i="1"/>
  <c r="I10" i="1"/>
  <c r="I14" i="1"/>
  <c r="I18" i="1"/>
  <c r="I22" i="1"/>
  <c r="I26" i="1"/>
  <c r="I30" i="1"/>
  <c r="I34" i="1"/>
  <c r="I6" i="1"/>
  <c r="H10" i="1"/>
  <c r="H14" i="1"/>
  <c r="H18" i="1"/>
  <c r="H22" i="1"/>
  <c r="H26" i="1"/>
  <c r="H30" i="1"/>
  <c r="H34" i="1"/>
  <c r="H6" i="1"/>
  <c r="N40" i="1"/>
  <c r="E5" i="4"/>
  <c r="G5" i="4"/>
  <c r="T40" i="1"/>
  <c r="E6" i="4"/>
  <c r="G6" i="4"/>
  <c r="Z40" i="1"/>
  <c r="E7" i="4"/>
  <c r="G7" i="4"/>
  <c r="H40" i="1"/>
  <c r="E4" i="4"/>
  <c r="G4" i="4"/>
  <c r="H38" i="1"/>
  <c r="J18" i="1"/>
  <c r="H39" i="1"/>
  <c r="D4" i="4"/>
  <c r="AF40" i="1"/>
  <c r="E8" i="4" s="1"/>
  <c r="G8" i="4" s="1"/>
  <c r="AF39" i="1"/>
  <c r="AF41" i="1" s="1"/>
  <c r="D8" i="4"/>
  <c r="Z38" i="1"/>
  <c r="C7" i="4"/>
  <c r="Z39" i="1"/>
  <c r="D7" i="4"/>
  <c r="T38" i="1"/>
  <c r="C6" i="4"/>
  <c r="N38" i="1"/>
  <c r="C5" i="4"/>
  <c r="N39" i="1"/>
  <c r="D5" i="4"/>
  <c r="J14" i="1"/>
  <c r="K18" i="1"/>
  <c r="B8" i="2"/>
  <c r="P6" i="1"/>
  <c r="Q6" i="1"/>
  <c r="C5" i="2"/>
  <c r="AB10" i="1"/>
  <c r="AC10" i="1"/>
  <c r="E6" i="2"/>
  <c r="K14" i="1"/>
  <c r="B7" i="2"/>
  <c r="J22" i="1"/>
  <c r="K22" i="1"/>
  <c r="B9" i="2"/>
  <c r="C4" i="4"/>
  <c r="V10" i="1"/>
  <c r="W10" i="1"/>
  <c r="D6" i="2"/>
  <c r="T41" i="1"/>
  <c r="D6" i="3"/>
  <c r="J30" i="1"/>
  <c r="K30" i="1"/>
  <c r="B11" i="2"/>
  <c r="J34" i="1"/>
  <c r="K34" i="1"/>
  <c r="B12" i="2"/>
  <c r="J26" i="1"/>
  <c r="K26" i="1"/>
  <c r="B10" i="2"/>
  <c r="V30" i="1"/>
  <c r="W30" i="1"/>
  <c r="D11" i="2"/>
  <c r="V34" i="1"/>
  <c r="W34" i="1"/>
  <c r="D12" i="2"/>
  <c r="J6" i="1"/>
  <c r="K6" i="1"/>
  <c r="B5" i="2"/>
  <c r="J10" i="1"/>
  <c r="K10" i="1"/>
  <c r="B6" i="2"/>
  <c r="V22" i="1"/>
  <c r="W22" i="1"/>
  <c r="D9" i="2"/>
  <c r="V18" i="1"/>
  <c r="W18" i="1"/>
  <c r="D8" i="2"/>
  <c r="V14" i="1"/>
  <c r="W14" i="1"/>
  <c r="D7" i="2"/>
  <c r="P22" i="1"/>
  <c r="Q22" i="1"/>
  <c r="C9" i="2"/>
  <c r="P34" i="1"/>
  <c r="Q34" i="1"/>
  <c r="C12" i="2"/>
  <c r="AB14" i="1"/>
  <c r="AC14" i="1"/>
  <c r="E7" i="2"/>
  <c r="AB30" i="1"/>
  <c r="AC30" i="1"/>
  <c r="E11" i="2"/>
  <c r="AB26" i="1"/>
  <c r="AC26" i="1"/>
  <c r="E10" i="2"/>
  <c r="AB34" i="1"/>
  <c r="AC34" i="1"/>
  <c r="E12" i="2"/>
  <c r="P10" i="1"/>
  <c r="Q10" i="1"/>
  <c r="C6" i="2"/>
  <c r="P14" i="1"/>
  <c r="Q14" i="1"/>
  <c r="C7" i="2"/>
  <c r="AB22" i="1"/>
  <c r="AC22" i="1"/>
  <c r="E9" i="2"/>
  <c r="V26" i="1"/>
  <c r="W26" i="1"/>
  <c r="D10" i="2"/>
  <c r="P18" i="1"/>
  <c r="Q18" i="1"/>
  <c r="C8" i="2"/>
  <c r="AB18" i="1"/>
  <c r="AC18" i="1"/>
  <c r="E8" i="2"/>
  <c r="P26" i="1"/>
  <c r="Q26" i="1"/>
  <c r="C10" i="2"/>
  <c r="V6" i="1"/>
  <c r="W6" i="1"/>
  <c r="D5" i="2"/>
  <c r="P30" i="1"/>
  <c r="Q30" i="1"/>
  <c r="C11" i="2"/>
  <c r="AB6" i="1"/>
  <c r="AC6" i="1"/>
  <c r="E5" i="2"/>
  <c r="Z41" i="1"/>
  <c r="N41" i="1"/>
  <c r="F5" i="4"/>
  <c r="H5" i="4"/>
  <c r="E8" i="3"/>
  <c r="F7" i="4"/>
  <c r="H7" i="4"/>
  <c r="D10" i="3"/>
  <c r="F6" i="4"/>
  <c r="H6" i="4"/>
  <c r="D12" i="3"/>
  <c r="D11" i="3"/>
  <c r="D9" i="3"/>
  <c r="B11" i="3"/>
  <c r="D8" i="3"/>
  <c r="E9" i="3"/>
  <c r="E11" i="3"/>
  <c r="E10" i="3"/>
  <c r="E6" i="3"/>
  <c r="C5" i="3"/>
  <c r="C10" i="3"/>
  <c r="C9" i="3"/>
  <c r="C11" i="3"/>
  <c r="C7" i="3"/>
  <c r="C8" i="3"/>
  <c r="F8" i="3" l="1"/>
  <c r="F8" i="4"/>
  <c r="H8" i="4" s="1"/>
  <c r="F7" i="3"/>
  <c r="F6" i="3"/>
  <c r="F12" i="3"/>
  <c r="F11" i="3"/>
  <c r="AH10" i="1"/>
  <c r="AI10" i="1" s="1"/>
  <c r="F6" i="2" s="1"/>
  <c r="AH30" i="1"/>
  <c r="AI30" i="1" s="1"/>
  <c r="F11" i="2" s="1"/>
  <c r="AH18" i="1"/>
  <c r="AI18" i="1" s="1"/>
  <c r="F8" i="2" s="1"/>
  <c r="AH34" i="1"/>
  <c r="AI34" i="1" s="1"/>
  <c r="F12" i="2" s="1"/>
  <c r="AH26" i="1"/>
  <c r="AI26" i="1" s="1"/>
  <c r="F10" i="2" s="1"/>
  <c r="AH14" i="1"/>
  <c r="AI14" i="1" s="1"/>
  <c r="F7" i="2" s="1"/>
  <c r="C8" i="4"/>
  <c r="AH22" i="1"/>
  <c r="AI22" i="1" s="1"/>
  <c r="F9" i="2" s="1"/>
  <c r="AH6" i="1"/>
  <c r="AI6" i="1" s="1"/>
  <c r="F5" i="2" s="1"/>
  <c r="F10" i="3"/>
  <c r="F5" i="3"/>
  <c r="F9" i="3"/>
  <c r="B10" i="3"/>
  <c r="F4" i="4"/>
  <c r="H4" i="4" s="1"/>
  <c r="B6" i="3"/>
  <c r="B9" i="3"/>
  <c r="B7" i="3"/>
  <c r="B8" i="3"/>
</calcChain>
</file>

<file path=xl/sharedStrings.xml><?xml version="1.0" encoding="utf-8"?>
<sst xmlns="http://schemas.openxmlformats.org/spreadsheetml/2006/main" count="74" uniqueCount="36">
  <si>
    <t>Laboratory</t>
  </si>
  <si>
    <t>Material</t>
  </si>
  <si>
    <t>A</t>
  </si>
  <si>
    <t>B</t>
  </si>
  <si>
    <t>C</t>
  </si>
  <si>
    <t>D</t>
  </si>
  <si>
    <t>E</t>
  </si>
  <si>
    <t>Cell
Average</t>
  </si>
  <si>
    <t>Cell
Std Dev</t>
  </si>
  <si>
    <t>Avg of Cell Avgs</t>
  </si>
  <si>
    <t>Std Dev of Cell Avgs</t>
  </si>
  <si>
    <t>Repeatability Std Dev</t>
  </si>
  <si>
    <t>Reproducibility Std Dev</t>
  </si>
  <si>
    <t>Between Lab
Consistency Statistic
h</t>
  </si>
  <si>
    <t>Within Lab
Consistency Statistic
k</t>
  </si>
  <si>
    <t>Material A</t>
  </si>
  <si>
    <t>Material B</t>
  </si>
  <si>
    <t>Material C</t>
  </si>
  <si>
    <t>Material D</t>
  </si>
  <si>
    <t>Material E</t>
  </si>
  <si>
    <t>Cell deviation
d</t>
  </si>
  <si>
    <t>Cálculos Dos Resultados e Testes Inter Laboratoriais</t>
  </si>
  <si>
    <t>Laboratorio</t>
  </si>
  <si>
    <t>Valores da estatística k de consistência Intra Laboratorial</t>
  </si>
  <si>
    <t>Média</t>
  </si>
  <si>
    <t>Desvio-padrão</t>
  </si>
  <si>
    <t>Repetibilidade</t>
  </si>
  <si>
    <t>Reproducibilidade</t>
  </si>
  <si>
    <t>Limite de 95% de Confiança para Repetibilidade</t>
  </si>
  <si>
    <t>Limite de 95% de Confiança para Reprodutibilidade</t>
  </si>
  <si>
    <t>Valores da estatística h de consistência Inter Laboratorial</t>
  </si>
  <si>
    <t>Laboratório</t>
  </si>
  <si>
    <t>Valor Crítico</t>
  </si>
  <si>
    <t>Valor Crítico
Positivo</t>
  </si>
  <si>
    <t>Valor Crítico
Negativo</t>
  </si>
  <si>
    <t>Desvios-padrão vs. Médias por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</si>
</sst>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/>
    <xf numFmtId="2" fontId="2" fillId="0" borderId="5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2" fontId="2" fillId="0" borderId="2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2" fontId="2" fillId="0" borderId="28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164" fontId="2" fillId="0" borderId="33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2" fontId="2" fillId="5" borderId="5" xfId="0" applyNumberFormat="1" applyFont="1" applyFill="1" applyBorder="1" applyAlignment="1">
      <alignment horizontal="center" vertical="center"/>
    </xf>
    <xf numFmtId="2" fontId="2" fillId="5" borderId="6" xfId="0" applyNumberFormat="1" applyFont="1" applyFill="1" applyBorder="1" applyAlignment="1">
      <alignment horizontal="center" vertical="center"/>
    </xf>
    <xf numFmtId="2" fontId="2" fillId="5" borderId="7" xfId="0" applyNumberFormat="1" applyFont="1" applyFill="1" applyBorder="1" applyAlignment="1">
      <alignment horizontal="center" vertical="center"/>
    </xf>
    <xf numFmtId="2" fontId="2" fillId="5" borderId="9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6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wrapText="1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right" vertical="center"/>
    </xf>
    <xf numFmtId="0" fontId="1" fillId="2" borderId="8" xfId="0" applyFont="1" applyFill="1" applyBorder="1" applyAlignment="1">
      <alignment horizontal="right" vertical="center"/>
    </xf>
    <xf numFmtId="0" fontId="1" fillId="2" borderId="9" xfId="0" applyFont="1" applyFill="1" applyBorder="1" applyAlignment="1">
      <alignment horizontal="right" vertical="center"/>
    </xf>
    <xf numFmtId="164" fontId="1" fillId="2" borderId="30" xfId="0" applyNumberFormat="1" applyFont="1" applyFill="1" applyBorder="1" applyAlignment="1">
      <alignment horizontal="center" vertical="center"/>
    </xf>
    <xf numFmtId="164" fontId="1" fillId="2" borderId="31" xfId="0" applyNumberFormat="1" applyFont="1" applyFill="1" applyBorder="1" applyAlignment="1">
      <alignment horizontal="center" vertical="center"/>
    </xf>
    <xf numFmtId="164" fontId="1" fillId="2" borderId="32" xfId="0" applyNumberFormat="1" applyFont="1" applyFill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right" vertical="center"/>
    </xf>
    <xf numFmtId="2" fontId="1" fillId="2" borderId="3" xfId="0" applyNumberFormat="1" applyFont="1" applyFill="1" applyBorder="1" applyAlignment="1">
      <alignment horizontal="right" vertical="center"/>
    </xf>
    <xf numFmtId="2" fontId="1" fillId="2" borderId="4" xfId="0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right" vertical="center"/>
    </xf>
    <xf numFmtId="0" fontId="1" fillId="2" borderId="21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Valores da estatística k de consistência Intra Laboratorial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'Intra Lab'!$B$4</c:f>
              <c:strCache>
                <c:ptCount val="1"/>
                <c:pt idx="0">
                  <c:v>Material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'Intra Lab'!$A$5:$A$12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'Intra Lab'!$B$5:$B$12</c:f>
              <c:numCache>
                <c:formatCode>0.00</c:formatCode>
                <c:ptCount val="8"/>
                <c:pt idx="0">
                  <c:v>0.20974852018787252</c:v>
                </c:pt>
                <c:pt idx="1">
                  <c:v>0.45623235880438351</c:v>
                </c:pt>
                <c:pt idx="2">
                  <c:v>0.99772138453867032</c:v>
                </c:pt>
                <c:pt idx="3">
                  <c:v>1.7040396418954282</c:v>
                </c:pt>
                <c:pt idx="4">
                  <c:v>0.34484870935873307</c:v>
                </c:pt>
                <c:pt idx="5">
                  <c:v>1.3243859853374507</c:v>
                </c:pt>
                <c:pt idx="6">
                  <c:v>1.173610743145886</c:v>
                </c:pt>
                <c:pt idx="7">
                  <c:v>0.77354863053970568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A-47AE-80F0-137B23C110DB}"/>
            </c:ext>
          </c:extLst>
        </c:ser>
        <c:ser>
          <c:idx val="1"/>
          <c:order val="1"/>
          <c:tx>
            <c:strRef>
              <c:f>'Intra Lab'!$C$4</c:f>
              <c:strCache>
                <c:ptCount val="1"/>
                <c:pt idx="0">
                  <c:v>Material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'Intra Lab'!$A$5:$A$12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'Intra Lab'!$C$5:$C$12</c:f>
              <c:numCache>
                <c:formatCode>0.00</c:formatCode>
                <c:ptCount val="8"/>
                <c:pt idx="0">
                  <c:v>0.10584263874038403</c:v>
                </c:pt>
                <c:pt idx="1">
                  <c:v>0.88761256940276823</c:v>
                </c:pt>
                <c:pt idx="2">
                  <c:v>0.55545317823585949</c:v>
                </c:pt>
                <c:pt idx="3">
                  <c:v>1.8465930803177641</c:v>
                </c:pt>
                <c:pt idx="4">
                  <c:v>0.51873663371335632</c:v>
                </c:pt>
                <c:pt idx="5">
                  <c:v>1.0948175184918134</c:v>
                </c:pt>
                <c:pt idx="6">
                  <c:v>1.3784022373619169</c:v>
                </c:pt>
                <c:pt idx="7">
                  <c:v>0.33882326227068077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A-47AE-80F0-137B23C110DB}"/>
            </c:ext>
          </c:extLst>
        </c:ser>
        <c:ser>
          <c:idx val="2"/>
          <c:order val="2"/>
          <c:tx>
            <c:strRef>
              <c:f>'Intra Lab'!$D$4</c:f>
              <c:strCache>
                <c:ptCount val="1"/>
                <c:pt idx="0">
                  <c:v>Material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'Intra Lab'!$A$5:$A$12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'Intra Lab'!$D$5:$D$12</c:f>
              <c:numCache>
                <c:formatCode>0.00</c:formatCode>
                <c:ptCount val="8"/>
                <c:pt idx="0">
                  <c:v>0.21502952830931904</c:v>
                </c:pt>
                <c:pt idx="1">
                  <c:v>0.78885166539584495</c:v>
                </c:pt>
                <c:pt idx="2">
                  <c:v>0.62904457235582745</c:v>
                </c:pt>
                <c:pt idx="3">
                  <c:v>2.4087944039713589</c:v>
                </c:pt>
                <c:pt idx="4">
                  <c:v>0.43617278811277421</c:v>
                </c:pt>
                <c:pt idx="5">
                  <c:v>0.46830332182861462</c:v>
                </c:pt>
                <c:pt idx="6">
                  <c:v>0.77295690499564329</c:v>
                </c:pt>
                <c:pt idx="7">
                  <c:v>0.35562721779552187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8A-47AE-80F0-137B23C110DB}"/>
            </c:ext>
          </c:extLst>
        </c:ser>
        <c:ser>
          <c:idx val="3"/>
          <c:order val="3"/>
          <c:tx>
            <c:strRef>
              <c:f>'Intra Lab'!$E$4</c:f>
              <c:strCache>
                <c:ptCount val="1"/>
                <c:pt idx="0">
                  <c:v>Material 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'Intra Lab'!$A$5:$A$12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'Intra Lab'!$E$5:$E$12</c:f>
              <c:numCache>
                <c:formatCode>0.00</c:formatCode>
                <c:ptCount val="8"/>
                <c:pt idx="0">
                  <c:v>2.285657620075195E-2</c:v>
                </c:pt>
                <c:pt idx="1">
                  <c:v>1.7837297927516682</c:v>
                </c:pt>
                <c:pt idx="2">
                  <c:v>0.60691993176112169</c:v>
                </c:pt>
                <c:pt idx="3">
                  <c:v>0.73771577489335827</c:v>
                </c:pt>
                <c:pt idx="4">
                  <c:v>0.71717503421460627</c:v>
                </c:pt>
                <c:pt idx="5">
                  <c:v>0.62840960798795487</c:v>
                </c:pt>
                <c:pt idx="6">
                  <c:v>1.4543291776303167</c:v>
                </c:pt>
                <c:pt idx="7">
                  <c:v>0.9385612464084947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8A-47AE-80F0-137B23C110DB}"/>
            </c:ext>
          </c:extLst>
        </c:ser>
        <c:ser>
          <c:idx val="4"/>
          <c:order val="4"/>
          <c:tx>
            <c:strRef>
              <c:f>'Intra Lab'!$F$4</c:f>
              <c:strCache>
                <c:ptCount val="1"/>
                <c:pt idx="0">
                  <c:v>Material 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'Intra Lab'!$A$5:$A$12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'Intra Lab'!$F$5:$F$12</c:f>
              <c:numCache>
                <c:formatCode>0.00</c:formatCode>
                <c:ptCount val="8"/>
                <c:pt idx="0">
                  <c:v>0.18317397728948823</c:v>
                </c:pt>
                <c:pt idx="1">
                  <c:v>2.3158069694182646</c:v>
                </c:pt>
                <c:pt idx="2">
                  <c:v>0.68315639248363269</c:v>
                </c:pt>
                <c:pt idx="3">
                  <c:v>0.22272819395076979</c:v>
                </c:pt>
                <c:pt idx="4">
                  <c:v>0.2405761462759759</c:v>
                </c:pt>
                <c:pt idx="5">
                  <c:v>1.0784268358662661</c:v>
                </c:pt>
                <c:pt idx="6">
                  <c:v>0.83290862254159526</c:v>
                </c:pt>
                <c:pt idx="7">
                  <c:v>0.41539953477135444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8A-47AE-80F0-137B23C11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0847632"/>
        <c:axId val="1510843792"/>
      </c:barChart>
      <c:lineChart>
        <c:grouping val="standard"/>
        <c:varyColors val="0"/>
        <c:ser>
          <c:idx val="5"/>
          <c:order val="5"/>
          <c:tx>
            <c:strRef>
              <c:f>'Intra Lab'!$G$4</c:f>
              <c:strCache>
                <c:ptCount val="1"/>
                <c:pt idx="0">
                  <c:v>Valor Crítico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'Intra Lab'!$G$5:$G$12</c:f>
              <c:numCache>
                <c:formatCode>General</c:formatCode>
                <c:ptCount val="8"/>
                <c:pt idx="0">
                  <c:v>2.06</c:v>
                </c:pt>
                <c:pt idx="1">
                  <c:v>2.06</c:v>
                </c:pt>
                <c:pt idx="2">
                  <c:v>2.06</c:v>
                </c:pt>
                <c:pt idx="3">
                  <c:v>2.06</c:v>
                </c:pt>
                <c:pt idx="4">
                  <c:v>2.06</c:v>
                </c:pt>
                <c:pt idx="5">
                  <c:v>2.06</c:v>
                </c:pt>
                <c:pt idx="6">
                  <c:v>2.06</c:v>
                </c:pt>
                <c:pt idx="7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66-431B-B8C3-DF0606A04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847632"/>
        <c:axId val="1510843792"/>
      </c:lineChart>
      <c:catAx>
        <c:axId val="1510847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Laboratorios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0843792"/>
        <c:crosses val="autoZero"/>
        <c:auto val="1"/>
        <c:lblAlgn val="ctr"/>
        <c:lblOffset val="100"/>
        <c:noMultiLvlLbl val="0"/>
      </c:catAx>
      <c:valAx>
        <c:axId val="151084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Valores</a:t>
                </a:r>
                <a:r>
                  <a:rPr lang="pt-BR" baseline="0"/>
                  <a:t> k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084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Valores da estatística h de consistência Inter Laboratorial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'Inter Lab '!$B$4</c:f>
              <c:strCache>
                <c:ptCount val="1"/>
                <c:pt idx="0">
                  <c:v>Material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'Inter Lab 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'Inter Lab '!$B$5:$B$12</c:f>
              <c:numCache>
                <c:formatCode>0.00</c:formatCode>
                <c:ptCount val="8"/>
                <c:pt idx="0">
                  <c:v>-0.38770724378725513</c:v>
                </c:pt>
                <c:pt idx="1">
                  <c:v>-0.12923574792908504</c:v>
                </c:pt>
                <c:pt idx="2">
                  <c:v>-0.11273756734239658</c:v>
                </c:pt>
                <c:pt idx="3">
                  <c:v>-0.10173878028458865</c:v>
                </c:pt>
                <c:pt idx="4">
                  <c:v>-9.073999322680415E-2</c:v>
                </c:pt>
                <c:pt idx="5">
                  <c:v>0.82765872609904523</c:v>
                </c:pt>
                <c:pt idx="6">
                  <c:v>-1.7515568389537635</c:v>
                </c:pt>
                <c:pt idx="7">
                  <c:v>1.7460574454248712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6-4668-A352-F7063AD6BF30}"/>
            </c:ext>
          </c:extLst>
        </c:ser>
        <c:ser>
          <c:idx val="1"/>
          <c:order val="1"/>
          <c:tx>
            <c:strRef>
              <c:f>'Inter Lab '!$C$4</c:f>
              <c:strCache>
                <c:ptCount val="1"/>
                <c:pt idx="0">
                  <c:v>Material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'Inter Lab 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'Inter Lab '!$C$5:$C$12</c:f>
              <c:numCache>
                <c:formatCode>0.00</c:formatCode>
                <c:ptCount val="8"/>
                <c:pt idx="0">
                  <c:v>-1.3591777331415877</c:v>
                </c:pt>
                <c:pt idx="1">
                  <c:v>-0.44502578789197467</c:v>
                </c:pt>
                <c:pt idx="2">
                  <c:v>0.2231361793631953</c:v>
                </c:pt>
                <c:pt idx="3">
                  <c:v>1.8486645474615993</c:v>
                </c:pt>
                <c:pt idx="4">
                  <c:v>-0.98686857725810928</c:v>
                </c:pt>
                <c:pt idx="5">
                  <c:v>0.21316361268773992</c:v>
                </c:pt>
                <c:pt idx="6">
                  <c:v>-0.15914554319573843</c:v>
                </c:pt>
                <c:pt idx="7">
                  <c:v>0.6652533019748329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86-4668-A352-F7063AD6BF30}"/>
            </c:ext>
          </c:extLst>
        </c:ser>
        <c:ser>
          <c:idx val="2"/>
          <c:order val="2"/>
          <c:tx>
            <c:strRef>
              <c:f>'Inter Lab '!$D$4</c:f>
              <c:strCache>
                <c:ptCount val="1"/>
                <c:pt idx="0">
                  <c:v>Material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'Inter Lab 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'Inter Lab '!$D$5:$D$12</c:f>
              <c:numCache>
                <c:formatCode>0.00</c:formatCode>
                <c:ptCount val="8"/>
                <c:pt idx="0">
                  <c:v>-0.73279008540341883</c:v>
                </c:pt>
                <c:pt idx="1">
                  <c:v>9.9305528593522596E-2</c:v>
                </c:pt>
                <c:pt idx="2">
                  <c:v>-0.20818078427111028</c:v>
                </c:pt>
                <c:pt idx="3">
                  <c:v>2.1412656552496907</c:v>
                </c:pt>
                <c:pt idx="4">
                  <c:v>-0.70643411572932058</c:v>
                </c:pt>
                <c:pt idx="5">
                  <c:v>0.5548872901031674</c:v>
                </c:pt>
                <c:pt idx="6">
                  <c:v>-0.99760482831949693</c:v>
                </c:pt>
                <c:pt idx="7">
                  <c:v>-0.1504486602230555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86-4668-A352-F7063AD6BF30}"/>
            </c:ext>
          </c:extLst>
        </c:ser>
        <c:ser>
          <c:idx val="3"/>
          <c:order val="3"/>
          <c:tx>
            <c:strRef>
              <c:f>'Inter Lab '!$E$4</c:f>
              <c:strCache>
                <c:ptCount val="1"/>
                <c:pt idx="0">
                  <c:v>Material 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'Inter Lab 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'Inter Lab '!$E$5:$E$12</c:f>
              <c:numCache>
                <c:formatCode>0.00</c:formatCode>
                <c:ptCount val="8"/>
                <c:pt idx="0">
                  <c:v>-0.41120671721474167</c:v>
                </c:pt>
                <c:pt idx="1">
                  <c:v>0.15012818453563914</c:v>
                </c:pt>
                <c:pt idx="2">
                  <c:v>-1.0123617149703064</c:v>
                </c:pt>
                <c:pt idx="3">
                  <c:v>0.96194433535086232</c:v>
                </c:pt>
                <c:pt idx="4">
                  <c:v>-0.6424201778899673</c:v>
                </c:pt>
                <c:pt idx="5">
                  <c:v>0.97350500838461262</c:v>
                </c:pt>
                <c:pt idx="6">
                  <c:v>-1.3322070022376944</c:v>
                </c:pt>
                <c:pt idx="7">
                  <c:v>1.3126180840415955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86-4668-A352-F7063AD6BF30}"/>
            </c:ext>
          </c:extLst>
        </c:ser>
        <c:ser>
          <c:idx val="4"/>
          <c:order val="4"/>
          <c:tx>
            <c:strRef>
              <c:f>'Inter Lab '!$F$4</c:f>
              <c:strCache>
                <c:ptCount val="1"/>
                <c:pt idx="0">
                  <c:v>Material 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'Inter Lab 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'Inter Lab '!$F$5:$F$12</c:f>
              <c:numCache>
                <c:formatCode>0.00</c:formatCode>
                <c:ptCount val="8"/>
                <c:pt idx="0">
                  <c:v>-0.47275650676593972</c:v>
                </c:pt>
                <c:pt idx="1">
                  <c:v>1.6223548202515781</c:v>
                </c:pt>
                <c:pt idx="2">
                  <c:v>-0.68855667288013211</c:v>
                </c:pt>
                <c:pt idx="3">
                  <c:v>0.47676422413664976</c:v>
                </c:pt>
                <c:pt idx="4">
                  <c:v>-0.3580741327737893</c:v>
                </c:pt>
                <c:pt idx="5">
                  <c:v>0.27329549608609488</c:v>
                </c:pt>
                <c:pt idx="6">
                  <c:v>-1.6257459657190421</c:v>
                </c:pt>
                <c:pt idx="7">
                  <c:v>0.77271873766472765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86-4668-A352-F7063AD6B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55776"/>
        <c:axId val="45163936"/>
      </c:barChart>
      <c:lineChart>
        <c:grouping val="standard"/>
        <c:varyColors val="0"/>
        <c:ser>
          <c:idx val="5"/>
          <c:order val="5"/>
          <c:tx>
            <c:strRef>
              <c:f>'Inter Lab '!$G$4</c:f>
              <c:strCache>
                <c:ptCount val="1"/>
                <c:pt idx="0">
                  <c:v>Valor Crítico
Positivo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'Inter Lab 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'Inter Lab '!$G$5:$G$12</c:f>
              <c:numCache>
                <c:formatCode>General</c:formatCode>
                <c:ptCount val="8"/>
                <c:pt idx="0">
                  <c:v>2.15</c:v>
                </c:pt>
                <c:pt idx="1">
                  <c:v>2.15</c:v>
                </c:pt>
                <c:pt idx="2">
                  <c:v>2.15</c:v>
                </c:pt>
                <c:pt idx="3">
                  <c:v>2.15</c:v>
                </c:pt>
                <c:pt idx="4">
                  <c:v>2.15</c:v>
                </c:pt>
                <c:pt idx="5">
                  <c:v>2.15</c:v>
                </c:pt>
                <c:pt idx="6">
                  <c:v>2.15</c:v>
                </c:pt>
                <c:pt idx="7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41-4115-8C22-F8EFAE6AB5B5}"/>
            </c:ext>
          </c:extLst>
        </c:ser>
        <c:ser>
          <c:idx val="6"/>
          <c:order val="6"/>
          <c:tx>
            <c:strRef>
              <c:f>'Inter Lab '!$H$4</c:f>
              <c:strCache>
                <c:ptCount val="1"/>
                <c:pt idx="0">
                  <c:v>Valor Crítico
Negativo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'Inter Lab 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'Inter Lab '!$H$5:$H$12</c:f>
              <c:numCache>
                <c:formatCode>General</c:formatCode>
                <c:ptCount val="8"/>
                <c:pt idx="0">
                  <c:v>-2.15</c:v>
                </c:pt>
                <c:pt idx="1">
                  <c:v>-2.15</c:v>
                </c:pt>
                <c:pt idx="2">
                  <c:v>-2.15</c:v>
                </c:pt>
                <c:pt idx="3">
                  <c:v>-2.15</c:v>
                </c:pt>
                <c:pt idx="4">
                  <c:v>-2.15</c:v>
                </c:pt>
                <c:pt idx="5">
                  <c:v>-2.15</c:v>
                </c:pt>
                <c:pt idx="6">
                  <c:v>-2.15</c:v>
                </c:pt>
                <c:pt idx="7">
                  <c:v>-2.15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41-4115-8C22-F8EFAE6AB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155776"/>
        <c:axId val="45163936"/>
      </c:lineChart>
      <c:catAx>
        <c:axId val="45155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Laboratórios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163936"/>
        <c:crosses val="autoZero"/>
        <c:auto val="1"/>
        <c:lblAlgn val="ctr"/>
        <c:lblOffset val="100"/>
        <c:noMultiLvlLbl val="0"/>
      </c:catAx>
      <c:valAx>
        <c:axId val="4516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Valor da estatística 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15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Repetibilidade e Reprodutibilidade por Médias de Materiais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'Declaração de Precisão'!$E$3</c:f>
              <c:strCache>
                <c:ptCount val="1"/>
                <c:pt idx="0">
                  <c:v>Repetibilidade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091877714009875E-2"/>
                  <c:y val="0.107952527673171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'Declaração de Precisão'!$C$4:$C$8</c:f>
              <c:numCache>
                <c:formatCode>0.00</c:formatCode>
                <c:ptCount val="5"/>
                <c:pt idx="0">
                  <c:v>41.518333333333331</c:v>
                </c:pt>
                <c:pt idx="1">
                  <c:v>79.679583333333341</c:v>
                </c:pt>
                <c:pt idx="2">
                  <c:v>135.14291666666668</c:v>
                </c:pt>
                <c:pt idx="3">
                  <c:v>194.71708333333333</c:v>
                </c:pt>
                <c:pt idx="4">
                  <c:v>294.53124999999994</c:v>
                </c:pt>
              </c:numCache>
            </c:numRef>
          </c:xVal>
          <c:yVal>
            <c:numRef>
              <c:f>'Declaração de Precisão'!$E$4:$E$8</c:f>
              <c:numCache>
                <c:formatCode>0.000</c:formatCode>
                <c:ptCount val="5"/>
                <c:pt idx="0">
                  <c:v>1.0632242629536506</c:v>
                </c:pt>
                <c:pt idx="1">
                  <c:v>1.4948536717685794</c:v>
                </c:pt>
                <c:pt idx="2">
                  <c:v>2.748272184482464</c:v>
                </c:pt>
                <c:pt idx="3">
                  <c:v>2.6250650785583693</c:v>
                </c:pt>
                <c:pt idx="4">
                  <c:v>3.9670428743166677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DD-4851-9259-8BE034323056}"/>
            </c:ext>
          </c:extLst>
        </c:ser>
        <c:ser>
          <c:idx val="1"/>
          <c:order val="1"/>
          <c:tx>
            <c:strRef>
              <c:f>'Declaração de Precisão'!$F$3</c:f>
              <c:strCache>
                <c:ptCount val="1"/>
                <c:pt idx="0">
                  <c:v>Reproducibilidade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1037538873611217E-2"/>
                  <c:y val="4.39764920689261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'Declaração de Precisão'!$C$4:$C$8</c:f>
              <c:numCache>
                <c:formatCode>0.00</c:formatCode>
                <c:ptCount val="5"/>
                <c:pt idx="0">
                  <c:v>41.518333333333331</c:v>
                </c:pt>
                <c:pt idx="1">
                  <c:v>79.679583333333341</c:v>
                </c:pt>
                <c:pt idx="2">
                  <c:v>135.14291666666668</c:v>
                </c:pt>
                <c:pt idx="3">
                  <c:v>194.71708333333333</c:v>
                </c:pt>
                <c:pt idx="4">
                  <c:v>294.53124999999994</c:v>
                </c:pt>
              </c:numCache>
            </c:numRef>
          </c:xVal>
          <c:yVal>
            <c:numRef>
              <c:f>'Declaração de Precisão'!$F$4:$F$8</c:f>
              <c:numCache>
                <c:formatCode>0.000</c:formatCode>
                <c:ptCount val="5"/>
                <c:pt idx="0">
                  <c:v>1.0632242629536506</c:v>
                </c:pt>
                <c:pt idx="1">
                  <c:v>1.5796310725599314</c:v>
                </c:pt>
                <c:pt idx="2">
                  <c:v>3.4769779970634724</c:v>
                </c:pt>
                <c:pt idx="3">
                  <c:v>3.3657134140794462</c:v>
                </c:pt>
                <c:pt idx="4">
                  <c:v>4.2188229241198778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DD-4851-9259-8BE034323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086704"/>
        <c:axId val="1515715472"/>
      </c:scatterChart>
      <c:valAx>
        <c:axId val="15808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Média dos Valores das Células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5715472"/>
        <c:crosses val="autoZero"/>
        <c:crossBetween val="midCat"/>
      </c:valAx>
      <c:valAx>
        <c:axId val="151571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Desvios-padrão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086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5EA5E5F-2900-DFFE-40CC-75A77106E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26F8B0-F54B-3307-8C04-B2BD2DF8A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9</xdr:row>
      <xdr:rowOff>0</xdr:rowOff>
    </xdr:from>
    <xdr:to>
      <xdr:col>9</xdr:col>
      <xdr:colOff>0</xdr:colOff>
      <xdr:row>32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C4064D-A955-E0E0-9DA6-30DFA3269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4B8A5-4428-420E-A095-60B406560A70}">
  <sheetPr>
    <tabColor rgb="FFFFFF00"/>
    <pageSetUpPr fitToPage="1"/>
  </sheetPr>
  <dimension ref="A1:AM41"/>
  <sheetViews>
    <sheetView showGridLines="0" tabSelected="1" zoomScale="70" zoomScaleNormal="70" workbookViewId="0">
      <pane xSplit="6" ySplit="4" topLeftCell="G5" activePane="bottomRight" state="frozen"/>
      <selection pane="topRight" activeCell="G1" sqref="G1"/>
      <selection pane="bottomLeft" activeCell="A3" sqref="A3"/>
      <selection pane="bottomRight" sqref="A1:AJ1"/>
    </sheetView>
  </sheetViews>
  <sheetFormatPr defaultColWidth="9.140625" defaultRowHeight="11.25" outlineLevelRow="1" outlineLevelCol="1" x14ac:dyDescent="0.2"/>
  <cols>
    <col min="1" max="1" width="11.42578125" style="11" bestFit="1" customWidth="1"/>
    <col min="2" max="6" width="7.5703125" style="11" customWidth="1" outlineLevel="1"/>
    <col min="7" max="7" width="2.85546875" style="11" customWidth="1"/>
    <col min="8" max="10" width="12" style="4" customWidth="1" outlineLevel="1"/>
    <col min="11" max="12" width="14.5703125" style="4" bestFit="1" customWidth="1" outlineLevel="1"/>
    <col min="13" max="13" width="2.85546875" style="4" customWidth="1"/>
    <col min="14" max="14" width="12" style="4" customWidth="1" outlineLevel="1" collapsed="1"/>
    <col min="15" max="16" width="12" style="4" customWidth="1" outlineLevel="1"/>
    <col min="17" max="18" width="14.5703125" style="4" bestFit="1" customWidth="1" outlineLevel="1"/>
    <col min="19" max="19" width="2.85546875" style="4" customWidth="1"/>
    <col min="20" max="22" width="12" style="4" customWidth="1" outlineLevel="1"/>
    <col min="23" max="24" width="14.5703125" style="4" bestFit="1" customWidth="1" outlineLevel="1"/>
    <col min="25" max="25" width="2.85546875" style="4" customWidth="1"/>
    <col min="26" max="28" width="12" style="4" customWidth="1" outlineLevel="1"/>
    <col min="29" max="30" width="14.5703125" style="4" bestFit="1" customWidth="1" outlineLevel="1"/>
    <col min="31" max="31" width="2.85546875" style="4" customWidth="1"/>
    <col min="32" max="34" width="12" style="4" customWidth="1" outlineLevel="1"/>
    <col min="35" max="36" width="14.5703125" style="4" bestFit="1" customWidth="1" outlineLevel="1"/>
    <col min="37" max="16384" width="9.140625" style="4"/>
  </cols>
  <sheetData>
    <row r="1" spans="1:39" ht="26.25" x14ac:dyDescent="0.2">
      <c r="A1" s="90" t="s">
        <v>21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</row>
    <row r="2" spans="1:39" ht="12" thickBot="1" x14ac:dyDescent="0.25"/>
    <row r="3" spans="1:39" s="1" customFormat="1" ht="12" thickBot="1" x14ac:dyDescent="0.25">
      <c r="A3" s="91" t="s">
        <v>0</v>
      </c>
      <c r="B3" s="93" t="s">
        <v>1</v>
      </c>
      <c r="C3" s="94"/>
      <c r="D3" s="94"/>
      <c r="E3" s="94"/>
      <c r="F3" s="95"/>
      <c r="G3" s="2"/>
      <c r="H3" s="89" t="s">
        <v>2</v>
      </c>
      <c r="I3" s="67"/>
      <c r="J3" s="67"/>
      <c r="K3" s="67"/>
      <c r="L3" s="68"/>
      <c r="M3" s="15"/>
      <c r="N3" s="89" t="s">
        <v>3</v>
      </c>
      <c r="O3" s="67"/>
      <c r="P3" s="67"/>
      <c r="Q3" s="67"/>
      <c r="R3" s="68"/>
      <c r="S3" s="15"/>
      <c r="T3" s="66" t="s">
        <v>4</v>
      </c>
      <c r="U3" s="67"/>
      <c r="V3" s="67"/>
      <c r="W3" s="67"/>
      <c r="X3" s="68"/>
      <c r="Y3" s="15"/>
      <c r="Z3" s="66" t="s">
        <v>5</v>
      </c>
      <c r="AA3" s="67"/>
      <c r="AB3" s="67"/>
      <c r="AC3" s="67"/>
      <c r="AD3" s="68"/>
      <c r="AE3" s="15"/>
      <c r="AF3" s="66" t="s">
        <v>6</v>
      </c>
      <c r="AG3" s="67"/>
      <c r="AH3" s="67"/>
      <c r="AI3" s="67"/>
      <c r="AJ3" s="68"/>
    </row>
    <row r="4" spans="1:39" s="1" customFormat="1" ht="53.25" customHeight="1" thickBot="1" x14ac:dyDescent="0.25">
      <c r="A4" s="92"/>
      <c r="B4" s="20" t="s">
        <v>2</v>
      </c>
      <c r="C4" s="21" t="s">
        <v>3</v>
      </c>
      <c r="D4" s="21" t="s">
        <v>4</v>
      </c>
      <c r="E4" s="21" t="s">
        <v>5</v>
      </c>
      <c r="F4" s="22" t="s">
        <v>6</v>
      </c>
      <c r="G4" s="2"/>
      <c r="H4" s="23" t="s">
        <v>7</v>
      </c>
      <c r="I4" s="24" t="s">
        <v>8</v>
      </c>
      <c r="J4" s="24" t="s">
        <v>20</v>
      </c>
      <c r="K4" s="24" t="s">
        <v>13</v>
      </c>
      <c r="L4" s="25" t="s">
        <v>14</v>
      </c>
      <c r="M4" s="16"/>
      <c r="N4" s="23" t="s">
        <v>7</v>
      </c>
      <c r="O4" s="24" t="s">
        <v>8</v>
      </c>
      <c r="P4" s="24" t="s">
        <v>20</v>
      </c>
      <c r="Q4" s="24" t="s">
        <v>13</v>
      </c>
      <c r="R4" s="25" t="s">
        <v>14</v>
      </c>
      <c r="S4" s="16"/>
      <c r="T4" s="23" t="s">
        <v>7</v>
      </c>
      <c r="U4" s="24" t="s">
        <v>8</v>
      </c>
      <c r="V4" s="24" t="s">
        <v>20</v>
      </c>
      <c r="W4" s="24" t="s">
        <v>13</v>
      </c>
      <c r="X4" s="25" t="s">
        <v>14</v>
      </c>
      <c r="Y4" s="16"/>
      <c r="Z4" s="23" t="s">
        <v>7</v>
      </c>
      <c r="AA4" s="24" t="s">
        <v>8</v>
      </c>
      <c r="AB4" s="24" t="s">
        <v>20</v>
      </c>
      <c r="AC4" s="24" t="s">
        <v>13</v>
      </c>
      <c r="AD4" s="25" t="s">
        <v>14</v>
      </c>
      <c r="AE4" s="16"/>
      <c r="AF4" s="23" t="s">
        <v>7</v>
      </c>
      <c r="AG4" s="24" t="s">
        <v>8</v>
      </c>
      <c r="AH4" s="24" t="s">
        <v>20</v>
      </c>
      <c r="AI4" s="24" t="s">
        <v>13</v>
      </c>
      <c r="AJ4" s="25" t="s">
        <v>14</v>
      </c>
      <c r="AK4" s="2"/>
      <c r="AL4" s="2"/>
      <c r="AM4" s="2"/>
    </row>
    <row r="5" spans="1:39" s="1" customFormat="1" ht="18.75" customHeight="1" thickBot="1" x14ac:dyDescent="0.25">
      <c r="A5" s="2"/>
      <c r="B5" s="30"/>
      <c r="C5" s="30"/>
      <c r="D5" s="30"/>
      <c r="E5" s="30"/>
      <c r="F5" s="30"/>
      <c r="G5" s="2"/>
      <c r="H5" s="31"/>
      <c r="I5" s="31"/>
      <c r="J5" s="31"/>
      <c r="K5" s="31"/>
      <c r="L5" s="31"/>
      <c r="M5" s="29"/>
      <c r="N5" s="31"/>
      <c r="O5" s="31"/>
      <c r="P5" s="31"/>
      <c r="Q5" s="31"/>
      <c r="R5" s="31"/>
      <c r="S5" s="29"/>
      <c r="T5" s="31"/>
      <c r="U5" s="31"/>
      <c r="V5" s="31"/>
      <c r="W5" s="31"/>
      <c r="X5" s="31"/>
      <c r="Y5" s="29"/>
      <c r="Z5" s="31"/>
      <c r="AA5" s="31"/>
      <c r="AB5" s="31"/>
      <c r="AC5" s="31"/>
      <c r="AD5" s="31"/>
      <c r="AE5" s="29"/>
      <c r="AF5" s="31"/>
      <c r="AG5" s="31"/>
      <c r="AH5" s="31"/>
      <c r="AI5" s="31"/>
      <c r="AJ5" s="31"/>
      <c r="AK5" s="2"/>
      <c r="AL5" s="2"/>
      <c r="AM5" s="2"/>
    </row>
    <row r="6" spans="1:39" outlineLevel="1" x14ac:dyDescent="0.2">
      <c r="A6" s="73">
        <v>1</v>
      </c>
      <c r="B6" s="34">
        <v>41.03</v>
      </c>
      <c r="C6" s="6">
        <v>78.28</v>
      </c>
      <c r="D6" s="6">
        <v>132.66</v>
      </c>
      <c r="E6" s="6">
        <v>193.71</v>
      </c>
      <c r="F6" s="6">
        <v>292.77999999999997</v>
      </c>
      <c r="G6" s="3"/>
      <c r="H6" s="69">
        <f>AVERAGE(B6:B8)</f>
        <v>41.283333333333331</v>
      </c>
      <c r="I6" s="71">
        <f>_xlfn.STDEV.S(B6:B8)</f>
        <v>0.22300971578236967</v>
      </c>
      <c r="J6" s="71">
        <f>H6-$H$38</f>
        <v>-0.23499999999999943</v>
      </c>
      <c r="K6" s="71">
        <f>J6/$H$39</f>
        <v>-0.38770724378725513</v>
      </c>
      <c r="L6" s="72">
        <f>I6/$H$40</f>
        <v>0.20974852018787252</v>
      </c>
      <c r="M6" s="3"/>
      <c r="N6" s="69">
        <f>AVERAGE(C6:C8)</f>
        <v>78.316666666666663</v>
      </c>
      <c r="O6" s="71">
        <f>_xlfn.STDEV.S(C6:C8)</f>
        <v>0.15821925715073837</v>
      </c>
      <c r="P6" s="71">
        <f>N6-$N$38</f>
        <v>-1.3629166666666777</v>
      </c>
      <c r="Q6" s="71">
        <f>P6/$N$39</f>
        <v>-1.3591777331415877</v>
      </c>
      <c r="R6" s="72">
        <f>O6/$N$40</f>
        <v>0.10584263874038403</v>
      </c>
      <c r="S6" s="3"/>
      <c r="T6" s="69">
        <f>AVERAGE(D6:D8)</f>
        <v>133.19666666666669</v>
      </c>
      <c r="U6" s="71">
        <f>_xlfn.STDEV.S(D6:D8)</f>
        <v>0.59095967149488604</v>
      </c>
      <c r="V6" s="71">
        <f>T6-$T$38</f>
        <v>-1.946249999999992</v>
      </c>
      <c r="W6" s="71">
        <f>V6/$T$39</f>
        <v>-0.73279008540341883</v>
      </c>
      <c r="X6" s="72">
        <f>U6/$T$40</f>
        <v>0.21502952830931904</v>
      </c>
      <c r="Y6" s="3"/>
      <c r="Z6" s="69">
        <f>AVERAGE(E6:E8)</f>
        <v>193.65</v>
      </c>
      <c r="AA6" s="71">
        <f>_xlfn.STDEV.S(E6:E8)</f>
        <v>6.0000000000002274E-2</v>
      </c>
      <c r="AB6" s="71">
        <f>Z6-$Z$38</f>
        <v>-1.0670833333333292</v>
      </c>
      <c r="AC6" s="71">
        <f>AB6/$Z$39</f>
        <v>-0.41120671721474167</v>
      </c>
      <c r="AD6" s="72">
        <f>AA6/$Z$40</f>
        <v>2.285657620075195E-2</v>
      </c>
      <c r="AE6" s="3"/>
      <c r="AF6" s="69">
        <f>AVERAGE(F6:F8)</f>
        <v>293.25333333333327</v>
      </c>
      <c r="AG6" s="71">
        <f>_xlfn.STDEV.S(F6:F8)</f>
        <v>0.7266590213665074</v>
      </c>
      <c r="AH6" s="71">
        <f>AF6-$AF$38</f>
        <v>-1.2779166666666697</v>
      </c>
      <c r="AI6" s="71">
        <f>AH6/$AF$39</f>
        <v>-0.47275650676593972</v>
      </c>
      <c r="AJ6" s="72">
        <f>AG6/$AF$40</f>
        <v>0.18317397728948823</v>
      </c>
      <c r="AK6" s="3"/>
      <c r="AL6" s="3"/>
      <c r="AM6" s="3"/>
    </row>
    <row r="7" spans="1:39" outlineLevel="1" x14ac:dyDescent="0.2">
      <c r="A7" s="74"/>
      <c r="B7" s="34">
        <v>41.45</v>
      </c>
      <c r="C7" s="6">
        <v>78.180000000000007</v>
      </c>
      <c r="D7" s="6">
        <v>133.83000000000001</v>
      </c>
      <c r="E7" s="6">
        <v>193.59</v>
      </c>
      <c r="F7" s="6">
        <v>294.08999999999997</v>
      </c>
      <c r="G7" s="3"/>
      <c r="H7" s="70"/>
      <c r="I7" s="61"/>
      <c r="J7" s="61"/>
      <c r="K7" s="61"/>
      <c r="L7" s="63"/>
      <c r="M7" s="3"/>
      <c r="N7" s="70"/>
      <c r="O7" s="61"/>
      <c r="P7" s="61"/>
      <c r="Q7" s="61"/>
      <c r="R7" s="63"/>
      <c r="S7" s="3"/>
      <c r="T7" s="70"/>
      <c r="U7" s="61"/>
      <c r="V7" s="61"/>
      <c r="W7" s="61"/>
      <c r="X7" s="63"/>
      <c r="Y7" s="3"/>
      <c r="Z7" s="70"/>
      <c r="AA7" s="61"/>
      <c r="AB7" s="61"/>
      <c r="AC7" s="61"/>
      <c r="AD7" s="63"/>
      <c r="AE7" s="3"/>
      <c r="AF7" s="70"/>
      <c r="AG7" s="61"/>
      <c r="AH7" s="61"/>
      <c r="AI7" s="61"/>
      <c r="AJ7" s="63"/>
      <c r="AK7" s="3"/>
      <c r="AL7" s="3"/>
      <c r="AM7" s="3"/>
    </row>
    <row r="8" spans="1:39" ht="12" outlineLevel="1" thickBot="1" x14ac:dyDescent="0.25">
      <c r="A8" s="75"/>
      <c r="B8" s="34">
        <v>41.37</v>
      </c>
      <c r="C8" s="6">
        <v>78.489999999999995</v>
      </c>
      <c r="D8" s="6">
        <v>133.1</v>
      </c>
      <c r="E8" s="6">
        <v>193.65</v>
      </c>
      <c r="F8" s="6">
        <v>292.89</v>
      </c>
      <c r="G8" s="3"/>
      <c r="H8" s="70"/>
      <c r="I8" s="61"/>
      <c r="J8" s="61"/>
      <c r="K8" s="61"/>
      <c r="L8" s="63"/>
      <c r="M8" s="3"/>
      <c r="N8" s="70"/>
      <c r="O8" s="61"/>
      <c r="P8" s="61"/>
      <c r="Q8" s="61"/>
      <c r="R8" s="63"/>
      <c r="S8" s="3"/>
      <c r="T8" s="70"/>
      <c r="U8" s="61"/>
      <c r="V8" s="61"/>
      <c r="W8" s="61"/>
      <c r="X8" s="63"/>
      <c r="Y8" s="3"/>
      <c r="Z8" s="70"/>
      <c r="AA8" s="61"/>
      <c r="AB8" s="61"/>
      <c r="AC8" s="61"/>
      <c r="AD8" s="63"/>
      <c r="AE8" s="3"/>
      <c r="AF8" s="70"/>
      <c r="AG8" s="61"/>
      <c r="AH8" s="61"/>
      <c r="AI8" s="61"/>
      <c r="AJ8" s="63"/>
      <c r="AK8" s="3"/>
      <c r="AL8" s="3"/>
      <c r="AM8" s="3"/>
    </row>
    <row r="9" spans="1:39" ht="18.75" customHeight="1" thickBot="1" x14ac:dyDescent="0.25">
      <c r="B9" s="28"/>
      <c r="C9" s="28"/>
      <c r="D9" s="28"/>
      <c r="E9" s="28"/>
      <c r="F9" s="28"/>
      <c r="G9" s="3"/>
      <c r="H9" s="28"/>
      <c r="I9" s="28"/>
      <c r="J9" s="28"/>
      <c r="K9" s="28"/>
      <c r="L9" s="28"/>
      <c r="M9" s="3"/>
      <c r="N9" s="28"/>
      <c r="O9" s="28"/>
      <c r="P9" s="28"/>
      <c r="Q9" s="28"/>
      <c r="R9" s="28"/>
      <c r="S9" s="3"/>
      <c r="T9" s="32"/>
      <c r="U9" s="28"/>
      <c r="V9" s="28"/>
      <c r="W9" s="28"/>
      <c r="X9" s="28"/>
      <c r="Y9" s="3"/>
      <c r="Z9" s="32"/>
      <c r="AA9" s="28"/>
      <c r="AB9" s="28"/>
      <c r="AC9" s="28"/>
      <c r="AD9" s="28"/>
      <c r="AE9" s="3"/>
      <c r="AF9" s="32"/>
      <c r="AG9" s="28"/>
      <c r="AH9" s="28"/>
      <c r="AI9" s="28"/>
      <c r="AJ9" s="28"/>
      <c r="AK9" s="3"/>
      <c r="AL9" s="3"/>
      <c r="AM9" s="3"/>
    </row>
    <row r="10" spans="1:39" outlineLevel="1" x14ac:dyDescent="0.2">
      <c r="A10" s="73">
        <v>2</v>
      </c>
      <c r="B10" s="5">
        <v>41.17</v>
      </c>
      <c r="C10" s="6">
        <v>77.78</v>
      </c>
      <c r="D10" s="6">
        <v>132.91999999999999</v>
      </c>
      <c r="E10" s="6">
        <v>190.88</v>
      </c>
      <c r="F10" s="7">
        <v>292.27</v>
      </c>
      <c r="G10" s="3"/>
      <c r="H10" s="70">
        <f t="shared" ref="H10" si="0">AVERAGE(B10:B12)</f>
        <v>41.44</v>
      </c>
      <c r="I10" s="61">
        <f t="shared" ref="I10" si="1">_xlfn.STDEV.S(B10:B12)</f>
        <v>0.48507731342539612</v>
      </c>
      <c r="J10" s="61">
        <f t="shared" ref="J10" si="2">H10-$H$38</f>
        <v>-7.8333333333333144E-2</v>
      </c>
      <c r="K10" s="61">
        <f t="shared" ref="K10" si="3">J10/$H$39</f>
        <v>-0.12923574792908504</v>
      </c>
      <c r="L10" s="63">
        <f>I10/$H$40</f>
        <v>0.45623235880438351</v>
      </c>
      <c r="M10" s="3"/>
      <c r="N10" s="70">
        <f t="shared" ref="N10" si="4">AVERAGE(C10:C12)</f>
        <v>79.233333333333334</v>
      </c>
      <c r="O10" s="61">
        <f t="shared" ref="O10" si="5">_xlfn.STDEV.S(C10:C12)</f>
        <v>1.3268509084796711</v>
      </c>
      <c r="P10" s="61">
        <f t="shared" ref="P10" si="6">N10-$N$38</f>
        <v>-0.44625000000000625</v>
      </c>
      <c r="Q10" s="61">
        <f t="shared" ref="Q10" si="7">P10/$N$39</f>
        <v>-0.44502578789197467</v>
      </c>
      <c r="R10" s="63">
        <f>O10/$N$40</f>
        <v>0.88761256940276823</v>
      </c>
      <c r="S10" s="3"/>
      <c r="T10" s="58">
        <f t="shared" ref="T10" si="8">AVERAGE(D10:D12)</f>
        <v>135.40666666666667</v>
      </c>
      <c r="U10" s="61">
        <f t="shared" ref="U10" si="9">_xlfn.STDEV.S(D10:D12)</f>
        <v>2.1679790896900686</v>
      </c>
      <c r="V10" s="61">
        <f t="shared" ref="V10" si="10">T10-$T$38</f>
        <v>0.26374999999998749</v>
      </c>
      <c r="W10" s="61">
        <f t="shared" ref="W10" si="11">V10/$T$39</f>
        <v>9.9305528593522596E-2</v>
      </c>
      <c r="X10" s="63">
        <f>U10/$T$40</f>
        <v>0.78885166539584495</v>
      </c>
      <c r="Y10" s="3"/>
      <c r="Z10" s="58">
        <f t="shared" ref="Z10" si="12">AVERAGE(E10:E12)</f>
        <v>195.10666666666665</v>
      </c>
      <c r="AA10" s="61">
        <f t="shared" ref="AA10" si="13">_xlfn.STDEV.S(E10:E12)</f>
        <v>4.6824067885365617</v>
      </c>
      <c r="AB10" s="61">
        <f t="shared" ref="AB10" si="14">Z10-$Z$38</f>
        <v>0.38958333333332007</v>
      </c>
      <c r="AC10" s="61">
        <f t="shared" ref="AC10" si="15">AB10/$Z$39</f>
        <v>0.15012818453563914</v>
      </c>
      <c r="AD10" s="63">
        <f>AA10/$Z$40</f>
        <v>1.7837297927516682</v>
      </c>
      <c r="AE10" s="3"/>
      <c r="AF10" s="58">
        <f t="shared" ref="AF10" si="16">AVERAGE(F10:F12)</f>
        <v>298.91666666666669</v>
      </c>
      <c r="AG10" s="61">
        <f t="shared" ref="AG10" si="17">_xlfn.STDEV.S(F10:F12)</f>
        <v>9.1869055363236036</v>
      </c>
      <c r="AH10" s="61">
        <f t="shared" ref="AH10" si="18">AF10-$AF$38</f>
        <v>4.3854166666667425</v>
      </c>
      <c r="AI10" s="61">
        <f t="shared" ref="AI10" si="19">AH10/$AF$39</f>
        <v>1.6223548202515781</v>
      </c>
      <c r="AJ10" s="63">
        <f>AG10/$AF$40</f>
        <v>2.3158069694182646</v>
      </c>
      <c r="AK10" s="3"/>
      <c r="AL10" s="3"/>
      <c r="AM10" s="3"/>
    </row>
    <row r="11" spans="1:39" outlineLevel="1" x14ac:dyDescent="0.2">
      <c r="A11" s="74"/>
      <c r="B11" s="5">
        <v>42</v>
      </c>
      <c r="C11" s="6">
        <v>80.38</v>
      </c>
      <c r="D11" s="6">
        <v>136.9</v>
      </c>
      <c r="E11" s="6">
        <v>200.14</v>
      </c>
      <c r="F11" s="7">
        <v>309.39999999999998</v>
      </c>
      <c r="G11" s="3"/>
      <c r="H11" s="70"/>
      <c r="I11" s="61"/>
      <c r="J11" s="61"/>
      <c r="K11" s="61"/>
      <c r="L11" s="63"/>
      <c r="M11" s="3"/>
      <c r="N11" s="70"/>
      <c r="O11" s="61"/>
      <c r="P11" s="61"/>
      <c r="Q11" s="61"/>
      <c r="R11" s="63"/>
      <c r="S11" s="3"/>
      <c r="T11" s="59"/>
      <c r="U11" s="61"/>
      <c r="V11" s="61"/>
      <c r="W11" s="61"/>
      <c r="X11" s="63"/>
      <c r="Y11" s="3"/>
      <c r="Z11" s="59"/>
      <c r="AA11" s="61"/>
      <c r="AB11" s="61"/>
      <c r="AC11" s="61"/>
      <c r="AD11" s="63"/>
      <c r="AE11" s="3"/>
      <c r="AF11" s="59"/>
      <c r="AG11" s="61"/>
      <c r="AH11" s="61"/>
      <c r="AI11" s="61"/>
      <c r="AJ11" s="63"/>
      <c r="AK11" s="3"/>
      <c r="AL11" s="3"/>
      <c r="AM11" s="3"/>
    </row>
    <row r="12" spans="1:39" ht="12" outlineLevel="1" thickBot="1" x14ac:dyDescent="0.25">
      <c r="A12" s="75"/>
      <c r="B12" s="5">
        <v>41.15</v>
      </c>
      <c r="C12" s="6">
        <v>79.540000000000006</v>
      </c>
      <c r="D12" s="6">
        <v>136.4</v>
      </c>
      <c r="E12" s="6">
        <v>194.3</v>
      </c>
      <c r="F12" s="7">
        <v>295.08</v>
      </c>
      <c r="G12" s="3"/>
      <c r="H12" s="70"/>
      <c r="I12" s="61"/>
      <c r="J12" s="61"/>
      <c r="K12" s="61"/>
      <c r="L12" s="63"/>
      <c r="M12" s="3"/>
      <c r="N12" s="70"/>
      <c r="O12" s="61"/>
      <c r="P12" s="61"/>
      <c r="Q12" s="61"/>
      <c r="R12" s="63"/>
      <c r="S12" s="3"/>
      <c r="T12" s="65"/>
      <c r="U12" s="61"/>
      <c r="V12" s="61"/>
      <c r="W12" s="61"/>
      <c r="X12" s="63"/>
      <c r="Y12" s="3"/>
      <c r="Z12" s="65"/>
      <c r="AA12" s="61"/>
      <c r="AB12" s="61"/>
      <c r="AC12" s="61"/>
      <c r="AD12" s="63"/>
      <c r="AE12" s="3"/>
      <c r="AF12" s="65"/>
      <c r="AG12" s="61"/>
      <c r="AH12" s="61"/>
      <c r="AI12" s="61"/>
      <c r="AJ12" s="63"/>
    </row>
    <row r="13" spans="1:39" ht="18.75" customHeight="1" thickBot="1" x14ac:dyDescent="0.25">
      <c r="B13" s="28"/>
      <c r="C13" s="28"/>
      <c r="D13" s="28"/>
      <c r="E13" s="28"/>
      <c r="F13" s="28"/>
      <c r="G13" s="3"/>
      <c r="H13" s="28"/>
      <c r="I13" s="28"/>
      <c r="J13" s="28"/>
      <c r="K13" s="28"/>
      <c r="L13" s="28"/>
      <c r="M13" s="3"/>
      <c r="N13" s="28"/>
      <c r="O13" s="28"/>
      <c r="P13" s="28"/>
      <c r="Q13" s="28"/>
      <c r="R13" s="28"/>
      <c r="S13" s="3"/>
      <c r="T13" s="3"/>
      <c r="U13" s="28"/>
      <c r="V13" s="28"/>
      <c r="W13" s="28"/>
      <c r="X13" s="28"/>
      <c r="Y13" s="3"/>
      <c r="Z13" s="3"/>
      <c r="AA13" s="28"/>
      <c r="AB13" s="28"/>
      <c r="AC13" s="28"/>
      <c r="AD13" s="28"/>
      <c r="AE13" s="3"/>
      <c r="AF13" s="3"/>
      <c r="AG13" s="28"/>
      <c r="AH13" s="28"/>
      <c r="AI13" s="28"/>
      <c r="AJ13" s="28"/>
    </row>
    <row r="14" spans="1:39" outlineLevel="1" x14ac:dyDescent="0.2">
      <c r="A14" s="73">
        <v>3</v>
      </c>
      <c r="B14" s="5">
        <v>41.01</v>
      </c>
      <c r="C14" s="6">
        <v>79.180000000000007</v>
      </c>
      <c r="D14" s="6">
        <v>132.61000000000001</v>
      </c>
      <c r="E14" s="6">
        <v>192.71</v>
      </c>
      <c r="F14" s="7">
        <v>295.52999999999997</v>
      </c>
      <c r="G14" s="3"/>
      <c r="H14" s="70">
        <f t="shared" ref="H14" si="20">AVERAGE(B14:B16)</f>
        <v>41.449999999999996</v>
      </c>
      <c r="I14" s="61">
        <f t="shared" ref="I14" si="21">_xlfn.STDEV.S(B14:B16)</f>
        <v>1.0608015837092235</v>
      </c>
      <c r="J14" s="61">
        <f t="shared" ref="J14" si="22">H14-$H$38</f>
        <v>-6.8333333333335133E-2</v>
      </c>
      <c r="K14" s="61">
        <f t="shared" ref="K14" si="23">J14/$H$39</f>
        <v>-0.11273756734239658</v>
      </c>
      <c r="L14" s="63">
        <f>I14/$H$40</f>
        <v>0.99772138453867032</v>
      </c>
      <c r="M14" s="3"/>
      <c r="N14" s="70">
        <f t="shared" ref="N14" si="24">AVERAGE(C14:C16)</f>
        <v>79.903333333333336</v>
      </c>
      <c r="O14" s="61">
        <f t="shared" ref="O14" si="25">_xlfn.STDEV.S(C14:C16)</f>
        <v>0.83032122298140176</v>
      </c>
      <c r="P14" s="61">
        <f t="shared" ref="P14" si="26">N14-$N$38</f>
        <v>0.22374999999999545</v>
      </c>
      <c r="Q14" s="61">
        <f t="shared" ref="Q14" si="27">P14/$N$39</f>
        <v>0.2231361793631953</v>
      </c>
      <c r="R14" s="63">
        <f>O14/$N$40</f>
        <v>0.55545317823585949</v>
      </c>
      <c r="S14" s="3"/>
      <c r="T14" s="58">
        <f t="shared" ref="T14" si="28">AVERAGE(D14:D16)</f>
        <v>134.59</v>
      </c>
      <c r="U14" s="61">
        <f t="shared" ref="U14" si="29">_xlfn.STDEV.S(D14:D16)</f>
        <v>1.7287857010051872</v>
      </c>
      <c r="V14" s="61">
        <f t="shared" ref="V14" si="30">T14-$T$38</f>
        <v>-0.55291666666667538</v>
      </c>
      <c r="W14" s="61">
        <f t="shared" ref="W14" si="31">V14/$T$39</f>
        <v>-0.20818078427111028</v>
      </c>
      <c r="X14" s="63">
        <f>U14/$T$40</f>
        <v>0.62904457235582745</v>
      </c>
      <c r="Y14" s="3"/>
      <c r="Z14" s="58">
        <f t="shared" ref="Z14" si="32">AVERAGE(E14:E16)</f>
        <v>192.09</v>
      </c>
      <c r="AA14" s="61">
        <f t="shared" ref="AA14" si="33">_xlfn.STDEV.S(E14:E16)</f>
        <v>1.5932043183471492</v>
      </c>
      <c r="AB14" s="61">
        <f t="shared" ref="AB14" si="34">Z14-$Z$38</f>
        <v>-2.6270833333333314</v>
      </c>
      <c r="AC14" s="61">
        <f t="shared" ref="AC14" si="35">AB14/$Z$39</f>
        <v>-1.0123617149703064</v>
      </c>
      <c r="AD14" s="63">
        <f>AA14/$Z$40</f>
        <v>0.60691993176112169</v>
      </c>
      <c r="AE14" s="3"/>
      <c r="AF14" s="58">
        <f t="shared" ref="AF14" si="36">AVERAGE(F14:F16)</f>
        <v>292.67</v>
      </c>
      <c r="AG14" s="61">
        <f t="shared" ref="AG14" si="37">_xlfn.STDEV.S(F14:F16)</f>
        <v>2.7101106988460759</v>
      </c>
      <c r="AH14" s="61">
        <f t="shared" ref="AH14" si="38">AF14-$AF$38</f>
        <v>-1.8612499999999272</v>
      </c>
      <c r="AI14" s="61">
        <f t="shared" ref="AI14" si="39">AH14/$AF$39</f>
        <v>-0.68855667288013211</v>
      </c>
      <c r="AJ14" s="63">
        <f>AG14/$AF$40</f>
        <v>0.68315639248363269</v>
      </c>
    </row>
    <row r="15" spans="1:39" outlineLevel="1" x14ac:dyDescent="0.2">
      <c r="A15" s="74"/>
      <c r="B15" s="5">
        <v>40.68</v>
      </c>
      <c r="C15" s="6">
        <v>79.72</v>
      </c>
      <c r="D15" s="6">
        <v>135.80000000000001</v>
      </c>
      <c r="E15" s="6">
        <v>193.28</v>
      </c>
      <c r="F15" s="7">
        <v>290.14</v>
      </c>
      <c r="G15" s="3"/>
      <c r="H15" s="70"/>
      <c r="I15" s="61"/>
      <c r="J15" s="61"/>
      <c r="K15" s="61"/>
      <c r="L15" s="63"/>
      <c r="M15" s="3"/>
      <c r="N15" s="70"/>
      <c r="O15" s="61"/>
      <c r="P15" s="61"/>
      <c r="Q15" s="61"/>
      <c r="R15" s="63"/>
      <c r="S15" s="3"/>
      <c r="T15" s="59"/>
      <c r="U15" s="61"/>
      <c r="V15" s="61"/>
      <c r="W15" s="61"/>
      <c r="X15" s="63"/>
      <c r="Y15" s="3"/>
      <c r="Z15" s="59"/>
      <c r="AA15" s="61"/>
      <c r="AB15" s="61"/>
      <c r="AC15" s="61"/>
      <c r="AD15" s="63"/>
      <c r="AE15" s="3"/>
      <c r="AF15" s="59"/>
      <c r="AG15" s="61"/>
      <c r="AH15" s="61"/>
      <c r="AI15" s="61"/>
      <c r="AJ15" s="63"/>
    </row>
    <row r="16" spans="1:39" ht="12" outlineLevel="1" thickBot="1" x14ac:dyDescent="0.25">
      <c r="A16" s="75"/>
      <c r="B16" s="5">
        <v>42.66</v>
      </c>
      <c r="C16" s="6">
        <v>80.81</v>
      </c>
      <c r="D16" s="6">
        <v>135.36000000000001</v>
      </c>
      <c r="E16" s="6">
        <v>190.28</v>
      </c>
      <c r="F16" s="7">
        <v>292.33999999999997</v>
      </c>
      <c r="G16" s="3"/>
      <c r="H16" s="70"/>
      <c r="I16" s="61"/>
      <c r="J16" s="61"/>
      <c r="K16" s="61"/>
      <c r="L16" s="63"/>
      <c r="M16" s="3"/>
      <c r="N16" s="70"/>
      <c r="O16" s="61"/>
      <c r="P16" s="61"/>
      <c r="Q16" s="61"/>
      <c r="R16" s="63"/>
      <c r="S16" s="3"/>
      <c r="T16" s="65"/>
      <c r="U16" s="61"/>
      <c r="V16" s="61"/>
      <c r="W16" s="61"/>
      <c r="X16" s="63"/>
      <c r="Y16" s="3"/>
      <c r="Z16" s="65"/>
      <c r="AA16" s="61"/>
      <c r="AB16" s="61"/>
      <c r="AC16" s="61"/>
      <c r="AD16" s="63"/>
      <c r="AE16" s="3"/>
      <c r="AF16" s="65"/>
      <c r="AG16" s="61"/>
      <c r="AH16" s="61"/>
      <c r="AI16" s="61"/>
      <c r="AJ16" s="63"/>
    </row>
    <row r="17" spans="1:36" ht="18.75" customHeight="1" thickBot="1" x14ac:dyDescent="0.25">
      <c r="B17" s="28"/>
      <c r="C17" s="28"/>
      <c r="D17" s="28"/>
      <c r="E17" s="28"/>
      <c r="F17" s="28"/>
      <c r="G17" s="3"/>
      <c r="H17" s="28"/>
      <c r="I17" s="28"/>
      <c r="J17" s="28"/>
      <c r="K17" s="28"/>
      <c r="L17" s="28"/>
      <c r="M17" s="3"/>
      <c r="N17" s="28"/>
      <c r="O17" s="28"/>
      <c r="P17" s="28"/>
      <c r="Q17" s="28"/>
      <c r="R17" s="28"/>
      <c r="S17" s="3"/>
      <c r="T17" s="3"/>
      <c r="U17" s="28"/>
      <c r="V17" s="28"/>
      <c r="W17" s="28"/>
      <c r="X17" s="28"/>
      <c r="Y17" s="3"/>
      <c r="Z17" s="3"/>
      <c r="AA17" s="28"/>
      <c r="AB17" s="28"/>
      <c r="AC17" s="28"/>
      <c r="AD17" s="28"/>
      <c r="AE17" s="3"/>
      <c r="AF17" s="3"/>
      <c r="AG17" s="28"/>
      <c r="AH17" s="28"/>
      <c r="AI17" s="28"/>
      <c r="AJ17" s="28"/>
    </row>
    <row r="18" spans="1:36" outlineLevel="1" x14ac:dyDescent="0.2">
      <c r="A18" s="73">
        <v>4</v>
      </c>
      <c r="B18" s="5">
        <v>39.369999999999997</v>
      </c>
      <c r="C18" s="6">
        <v>84.08</v>
      </c>
      <c r="D18" s="6">
        <v>138.5</v>
      </c>
      <c r="E18" s="6">
        <v>195.85</v>
      </c>
      <c r="F18" s="7">
        <v>295.19</v>
      </c>
      <c r="G18" s="3"/>
      <c r="H18" s="70">
        <f t="shared" ref="H18" si="40">AVERAGE(B18:B20)</f>
        <v>41.456666666666671</v>
      </c>
      <c r="I18" s="61">
        <f t="shared" ref="I18" si="41">_xlfn.STDEV.S(B18:B20)</f>
        <v>1.8117762922980694</v>
      </c>
      <c r="J18" s="61">
        <f t="shared" ref="J18" si="42">H18-$H$38</f>
        <v>-6.1666666666660319E-2</v>
      </c>
      <c r="K18" s="61">
        <f t="shared" ref="K18" si="43">J18/$H$39</f>
        <v>-0.10173878028458865</v>
      </c>
      <c r="L18" s="63">
        <f>I18/$H$40</f>
        <v>1.7040396418954282</v>
      </c>
      <c r="M18" s="3"/>
      <c r="N18" s="70">
        <f t="shared" ref="N18" si="44">AVERAGE(C18:C20)</f>
        <v>81.533333333333346</v>
      </c>
      <c r="O18" s="61">
        <f t="shared" ref="O18" si="45">_xlfn.STDEV.S(C18:C20)</f>
        <v>2.760386446375461</v>
      </c>
      <c r="P18" s="61">
        <f t="shared" ref="P18" si="46">N18-$N$38</f>
        <v>1.8537500000000051</v>
      </c>
      <c r="Q18" s="61">
        <f t="shared" ref="Q18" si="47">P18/$N$39</f>
        <v>1.8486645474615993</v>
      </c>
      <c r="R18" s="63">
        <f>O18/$N$40</f>
        <v>1.8465930803177641</v>
      </c>
      <c r="S18" s="3"/>
      <c r="T18" s="58">
        <f t="shared" ref="T18" si="48">AVERAGE(D18:D20)</f>
        <v>140.83000000000001</v>
      </c>
      <c r="U18" s="61">
        <f t="shared" ref="U18" si="49">_xlfn.STDEV.S(D18:D20)</f>
        <v>6.6200226585715019</v>
      </c>
      <c r="V18" s="61">
        <f t="shared" ref="V18" si="50">T18-$T$38</f>
        <v>5.6870833333333337</v>
      </c>
      <c r="W18" s="61">
        <f t="shared" ref="W18" si="51">V18/$T$39</f>
        <v>2.1412656552496907</v>
      </c>
      <c r="X18" s="63">
        <f>U18/$T$40</f>
        <v>2.4087944039713589</v>
      </c>
      <c r="Y18" s="3"/>
      <c r="Z18" s="58">
        <f t="shared" ref="Z18" si="52">AVERAGE(E18:E20)</f>
        <v>197.21333333333337</v>
      </c>
      <c r="AA18" s="61">
        <f t="shared" ref="AA18" si="53">_xlfn.STDEV.S(E18:E20)</f>
        <v>1.9365519185741817</v>
      </c>
      <c r="AB18" s="61">
        <f t="shared" ref="AB18" si="54">Z18-$Z$38</f>
        <v>2.4962500000000318</v>
      </c>
      <c r="AC18" s="61">
        <f t="shared" ref="AC18" si="55">AB18/$Z$39</f>
        <v>0.96194433535086232</v>
      </c>
      <c r="AD18" s="63">
        <f>AA18/$Z$40</f>
        <v>0.73771577489335827</v>
      </c>
      <c r="AE18" s="3"/>
      <c r="AF18" s="58">
        <f t="shared" ref="AF18" si="56">AVERAGE(F18:F20)</f>
        <v>295.82</v>
      </c>
      <c r="AG18" s="61">
        <f t="shared" ref="AG18" si="57">_xlfn.STDEV.S(F18:F20)</f>
        <v>0.88357229472182197</v>
      </c>
      <c r="AH18" s="61">
        <f t="shared" ref="AH18" si="58">AF18-$AF$38</f>
        <v>1.28875000000005</v>
      </c>
      <c r="AI18" s="61">
        <f t="shared" ref="AI18" si="59">AH18/$AF$39</f>
        <v>0.47676422413664976</v>
      </c>
      <c r="AJ18" s="63">
        <f>AG18/$AF$40</f>
        <v>0.22272819395076979</v>
      </c>
    </row>
    <row r="19" spans="1:36" outlineLevel="1" x14ac:dyDescent="0.2">
      <c r="A19" s="74"/>
      <c r="B19" s="5">
        <v>42.37</v>
      </c>
      <c r="C19" s="6">
        <v>78.599999999999994</v>
      </c>
      <c r="D19" s="6">
        <v>148.30000000000001</v>
      </c>
      <c r="E19" s="6">
        <v>196.36</v>
      </c>
      <c r="F19" s="7">
        <v>295.44</v>
      </c>
      <c r="G19" s="3"/>
      <c r="H19" s="70"/>
      <c r="I19" s="61"/>
      <c r="J19" s="61"/>
      <c r="K19" s="61"/>
      <c r="L19" s="63"/>
      <c r="M19" s="3"/>
      <c r="N19" s="70"/>
      <c r="O19" s="61"/>
      <c r="P19" s="61"/>
      <c r="Q19" s="61"/>
      <c r="R19" s="63"/>
      <c r="S19" s="3"/>
      <c r="T19" s="59"/>
      <c r="U19" s="61"/>
      <c r="V19" s="61"/>
      <c r="W19" s="61"/>
      <c r="X19" s="63"/>
      <c r="Y19" s="3"/>
      <c r="Z19" s="59"/>
      <c r="AA19" s="61"/>
      <c r="AB19" s="61"/>
      <c r="AC19" s="61"/>
      <c r="AD19" s="63"/>
      <c r="AE19" s="3"/>
      <c r="AF19" s="59"/>
      <c r="AG19" s="61"/>
      <c r="AH19" s="61"/>
      <c r="AI19" s="61"/>
      <c r="AJ19" s="63"/>
    </row>
    <row r="20" spans="1:36" ht="12.75" customHeight="1" outlineLevel="1" thickBot="1" x14ac:dyDescent="0.25">
      <c r="A20" s="75"/>
      <c r="B20" s="5">
        <v>42.63</v>
      </c>
      <c r="C20" s="6">
        <v>81.92</v>
      </c>
      <c r="D20" s="6">
        <v>135.69</v>
      </c>
      <c r="E20" s="6">
        <v>199.43</v>
      </c>
      <c r="F20" s="7">
        <v>296.83</v>
      </c>
      <c r="G20" s="3"/>
      <c r="H20" s="70"/>
      <c r="I20" s="61"/>
      <c r="J20" s="61"/>
      <c r="K20" s="61"/>
      <c r="L20" s="63"/>
      <c r="M20" s="3"/>
      <c r="N20" s="70"/>
      <c r="O20" s="61"/>
      <c r="P20" s="61"/>
      <c r="Q20" s="61"/>
      <c r="R20" s="63"/>
      <c r="S20" s="3"/>
      <c r="T20" s="65"/>
      <c r="U20" s="61"/>
      <c r="V20" s="61"/>
      <c r="W20" s="61"/>
      <c r="X20" s="63"/>
      <c r="Y20" s="3"/>
      <c r="Z20" s="65"/>
      <c r="AA20" s="61"/>
      <c r="AB20" s="61"/>
      <c r="AC20" s="61"/>
      <c r="AD20" s="63"/>
      <c r="AE20" s="3"/>
      <c r="AF20" s="65"/>
      <c r="AG20" s="61"/>
      <c r="AH20" s="61"/>
      <c r="AI20" s="61"/>
      <c r="AJ20" s="63"/>
    </row>
    <row r="21" spans="1:36" ht="18.75" customHeight="1" thickBot="1" x14ac:dyDescent="0.25">
      <c r="B21" s="28"/>
      <c r="C21" s="28"/>
      <c r="D21" s="28"/>
      <c r="E21" s="28"/>
      <c r="F21" s="28"/>
      <c r="G21" s="3"/>
      <c r="H21" s="28"/>
      <c r="I21" s="28"/>
      <c r="J21" s="28"/>
      <c r="K21" s="28"/>
      <c r="L21" s="28"/>
      <c r="M21" s="3"/>
      <c r="N21" s="28"/>
      <c r="O21" s="28"/>
      <c r="P21" s="28"/>
      <c r="Q21" s="28"/>
      <c r="R21" s="28"/>
      <c r="S21" s="3"/>
      <c r="T21" s="3"/>
      <c r="U21" s="28"/>
      <c r="V21" s="28"/>
      <c r="W21" s="28"/>
      <c r="X21" s="28"/>
      <c r="Y21" s="3"/>
      <c r="Z21" s="3"/>
      <c r="AA21" s="28"/>
      <c r="AB21" s="28"/>
      <c r="AC21" s="28"/>
      <c r="AD21" s="28"/>
      <c r="AE21" s="3"/>
      <c r="AF21" s="3"/>
      <c r="AG21" s="28"/>
      <c r="AH21" s="28"/>
      <c r="AI21" s="28"/>
      <c r="AJ21" s="28"/>
    </row>
    <row r="22" spans="1:36" outlineLevel="1" x14ac:dyDescent="0.2">
      <c r="A22" s="73">
        <v>5</v>
      </c>
      <c r="B22" s="5">
        <v>41.88</v>
      </c>
      <c r="C22" s="6">
        <v>78.16</v>
      </c>
      <c r="D22" s="6">
        <v>131.9</v>
      </c>
      <c r="E22" s="6">
        <v>192.59</v>
      </c>
      <c r="F22" s="7">
        <v>293.93</v>
      </c>
      <c r="G22" s="3"/>
      <c r="H22" s="70">
        <f t="shared" ref="H22" si="60">AVERAGE(B22:B24)</f>
        <v>41.463333333333331</v>
      </c>
      <c r="I22" s="61">
        <f t="shared" ref="I22" si="61">_xlfn.STDEV.S(B22:B24)</f>
        <v>0.36665151483845665</v>
      </c>
      <c r="J22" s="61">
        <f t="shared" ref="J22" si="62">H22-$H$38</f>
        <v>-5.4999999999999716E-2</v>
      </c>
      <c r="K22" s="61">
        <f t="shared" ref="K22" si="63">J22/$H$39</f>
        <v>-9.073999322680415E-2</v>
      </c>
      <c r="L22" s="63">
        <f>I22/$H$40</f>
        <v>0.34484870935873307</v>
      </c>
      <c r="M22" s="3"/>
      <c r="N22" s="70">
        <f t="shared" ref="N22" si="64">AVERAGE(C22:C24)</f>
        <v>78.69</v>
      </c>
      <c r="O22" s="61">
        <f t="shared" ref="O22" si="65">_xlfn.STDEV.S(C22:C24)</f>
        <v>0.77543536158728332</v>
      </c>
      <c r="P22" s="61">
        <f t="shared" ref="P22" si="66">N22-$N$38</f>
        <v>-0.98958333333334281</v>
      </c>
      <c r="Q22" s="61">
        <f t="shared" ref="Q22" si="67">P22/$N$39</f>
        <v>-0.98686857725810928</v>
      </c>
      <c r="R22" s="63">
        <f>O22/$N$40</f>
        <v>0.51873663371335632</v>
      </c>
      <c r="S22" s="3"/>
      <c r="T22" s="58">
        <f t="shared" ref="T22" si="68">AVERAGE(D22:D24)</f>
        <v>133.26666666666665</v>
      </c>
      <c r="U22" s="61">
        <f t="shared" ref="U22" si="69">_xlfn.STDEV.S(D22:D24)</f>
        <v>1.1987215411985008</v>
      </c>
      <c r="V22" s="61">
        <f t="shared" ref="V22" si="70">T22-$T$38</f>
        <v>-1.8762500000000273</v>
      </c>
      <c r="W22" s="61">
        <f t="shared" ref="W22" si="71">V22/$T$39</f>
        <v>-0.70643411572932058</v>
      </c>
      <c r="X22" s="63">
        <f>U22/$T$40</f>
        <v>0.43617278811277421</v>
      </c>
      <c r="Y22" s="3"/>
      <c r="Z22" s="58">
        <f t="shared" ref="Z22" si="72">AVERAGE(E22:E24)</f>
        <v>193.04999999999998</v>
      </c>
      <c r="AA22" s="61">
        <f t="shared" ref="AA22" si="73">_xlfn.STDEV.S(E22:E24)</f>
        <v>1.8826311375306666</v>
      </c>
      <c r="AB22" s="61">
        <f t="shared" ref="AB22" si="74">Z22-$Z$38</f>
        <v>-1.6670833333333519</v>
      </c>
      <c r="AC22" s="61">
        <f t="shared" ref="AC22" si="75">AB22/$Z$39</f>
        <v>-0.6424201778899673</v>
      </c>
      <c r="AD22" s="63">
        <f>AA22/$Z$40</f>
        <v>0.71717503421460627</v>
      </c>
      <c r="AE22" s="3"/>
      <c r="AF22" s="58">
        <f t="shared" ref="AF22" si="76">AVERAGE(F22:F24)</f>
        <v>293.56333333333333</v>
      </c>
      <c r="AG22" s="61">
        <f t="shared" ref="AG22" si="77">_xlfn.STDEV.S(F22:F24)</f>
        <v>0.95437588681467456</v>
      </c>
      <c r="AH22" s="61">
        <f t="shared" ref="AH22" si="78">AF22-$AF$38</f>
        <v>-0.96791666666661058</v>
      </c>
      <c r="AI22" s="61">
        <f t="shared" ref="AI22" si="79">AH22/$AF$39</f>
        <v>-0.3580741327737893</v>
      </c>
      <c r="AJ22" s="63">
        <f>AG22/$AF$40</f>
        <v>0.2405761462759759</v>
      </c>
    </row>
    <row r="23" spans="1:36" outlineLevel="1" x14ac:dyDescent="0.2">
      <c r="A23" s="74"/>
      <c r="B23" s="5">
        <v>41.19</v>
      </c>
      <c r="C23" s="6">
        <v>79.58</v>
      </c>
      <c r="D23" s="6">
        <v>134.13999999999999</v>
      </c>
      <c r="E23" s="6">
        <v>191.44</v>
      </c>
      <c r="F23" s="7">
        <v>292.48</v>
      </c>
      <c r="G23" s="3"/>
      <c r="H23" s="70"/>
      <c r="I23" s="61"/>
      <c r="J23" s="61"/>
      <c r="K23" s="61"/>
      <c r="L23" s="63"/>
      <c r="M23" s="3"/>
      <c r="N23" s="70"/>
      <c r="O23" s="61"/>
      <c r="P23" s="61"/>
      <c r="Q23" s="61"/>
      <c r="R23" s="63"/>
      <c r="S23" s="3"/>
      <c r="T23" s="59"/>
      <c r="U23" s="61"/>
      <c r="V23" s="61"/>
      <c r="W23" s="61"/>
      <c r="X23" s="63"/>
      <c r="Y23" s="3"/>
      <c r="Z23" s="59"/>
      <c r="AA23" s="61"/>
      <c r="AB23" s="61"/>
      <c r="AC23" s="61"/>
      <c r="AD23" s="63"/>
      <c r="AE23" s="3"/>
      <c r="AF23" s="59"/>
      <c r="AG23" s="61"/>
      <c r="AH23" s="61"/>
      <c r="AI23" s="61"/>
      <c r="AJ23" s="63"/>
    </row>
    <row r="24" spans="1:36" ht="12" outlineLevel="1" thickBot="1" x14ac:dyDescent="0.25">
      <c r="A24" s="75"/>
      <c r="B24" s="5">
        <v>41.32</v>
      </c>
      <c r="C24" s="6">
        <v>78.33</v>
      </c>
      <c r="D24" s="6">
        <v>133.76</v>
      </c>
      <c r="E24" s="6">
        <v>195.12</v>
      </c>
      <c r="F24" s="7">
        <v>294.27999999999997</v>
      </c>
      <c r="G24" s="3"/>
      <c r="H24" s="70"/>
      <c r="I24" s="61"/>
      <c r="J24" s="61"/>
      <c r="K24" s="61"/>
      <c r="L24" s="63"/>
      <c r="M24" s="3"/>
      <c r="N24" s="70"/>
      <c r="O24" s="61"/>
      <c r="P24" s="61"/>
      <c r="Q24" s="61"/>
      <c r="R24" s="63"/>
      <c r="S24" s="3"/>
      <c r="T24" s="65"/>
      <c r="U24" s="61"/>
      <c r="V24" s="61"/>
      <c r="W24" s="61"/>
      <c r="X24" s="63"/>
      <c r="Y24" s="3"/>
      <c r="Z24" s="65"/>
      <c r="AA24" s="61"/>
      <c r="AB24" s="61"/>
      <c r="AC24" s="61"/>
      <c r="AD24" s="63"/>
      <c r="AE24" s="3"/>
      <c r="AF24" s="65"/>
      <c r="AG24" s="61"/>
      <c r="AH24" s="61"/>
      <c r="AI24" s="61"/>
      <c r="AJ24" s="63"/>
    </row>
    <row r="25" spans="1:36" ht="18.75" customHeight="1" thickBot="1" x14ac:dyDescent="0.25">
      <c r="B25" s="28"/>
      <c r="C25" s="28"/>
      <c r="D25" s="28"/>
      <c r="E25" s="28"/>
      <c r="F25" s="28"/>
      <c r="G25" s="3"/>
      <c r="H25" s="28"/>
      <c r="I25" s="28"/>
      <c r="J25" s="28"/>
      <c r="K25" s="28"/>
      <c r="L25" s="28"/>
      <c r="M25" s="3"/>
      <c r="N25" s="28"/>
      <c r="O25" s="28"/>
      <c r="P25" s="28"/>
      <c r="Q25" s="28"/>
      <c r="R25" s="28"/>
      <c r="S25" s="3"/>
      <c r="T25" s="3"/>
      <c r="U25" s="28"/>
      <c r="V25" s="28"/>
      <c r="W25" s="28"/>
      <c r="X25" s="28"/>
      <c r="Y25" s="3"/>
      <c r="Z25" s="3"/>
      <c r="AA25" s="28"/>
      <c r="AB25" s="28"/>
      <c r="AC25" s="28"/>
      <c r="AD25" s="28"/>
      <c r="AE25" s="3"/>
      <c r="AF25" s="3"/>
      <c r="AG25" s="28"/>
      <c r="AH25" s="28"/>
      <c r="AI25" s="28"/>
      <c r="AJ25" s="28"/>
    </row>
    <row r="26" spans="1:36" outlineLevel="1" x14ac:dyDescent="0.2">
      <c r="A26" s="73">
        <v>6</v>
      </c>
      <c r="B26" s="5">
        <v>43.28</v>
      </c>
      <c r="C26" s="6">
        <v>78.66</v>
      </c>
      <c r="D26" s="6">
        <v>137.21</v>
      </c>
      <c r="E26" s="6">
        <v>195.34</v>
      </c>
      <c r="F26" s="7">
        <v>297.74</v>
      </c>
      <c r="G26" s="3"/>
      <c r="H26" s="70">
        <f t="shared" ref="H26" si="80">AVERAGE(B26:B28)</f>
        <v>42.02</v>
      </c>
      <c r="I26" s="61">
        <f t="shared" ref="I26" si="81">_xlfn.STDEV.S(B26:B28)</f>
        <v>1.4081193131265552</v>
      </c>
      <c r="J26" s="61">
        <f t="shared" ref="J26" si="82">H26-$H$38</f>
        <v>0.50166666666667226</v>
      </c>
      <c r="K26" s="61">
        <f t="shared" ref="K26" si="83">J26/$H$39</f>
        <v>0.82765872609904523</v>
      </c>
      <c r="L26" s="63">
        <f>I26/$H$40</f>
        <v>1.3243859853374507</v>
      </c>
      <c r="M26" s="3"/>
      <c r="N26" s="70">
        <f t="shared" ref="N26" si="84">AVERAGE(C26:C28)</f>
        <v>79.893333333333331</v>
      </c>
      <c r="O26" s="61">
        <f t="shared" ref="O26" si="85">_xlfn.STDEV.S(C26:C28)</f>
        <v>1.636591987434052</v>
      </c>
      <c r="P26" s="61">
        <f t="shared" ref="P26" si="86">N26-$N$38</f>
        <v>0.21374999999999034</v>
      </c>
      <c r="Q26" s="61">
        <f t="shared" ref="Q26" si="87">P26/$N$39</f>
        <v>0.21316361268773992</v>
      </c>
      <c r="R26" s="63">
        <f>O26/$N$40</f>
        <v>1.0948175184918134</v>
      </c>
      <c r="S26" s="3"/>
      <c r="T26" s="58">
        <f t="shared" ref="T26" si="88">AVERAGE(D26:D28)</f>
        <v>136.61666666666667</v>
      </c>
      <c r="U26" s="61">
        <f t="shared" ref="U26" si="89">_xlfn.STDEV.S(D26:D28)</f>
        <v>1.287024993282321</v>
      </c>
      <c r="V26" s="61">
        <f t="shared" ref="V26" si="90">T26-$T$38</f>
        <v>1.4737499999999955</v>
      </c>
      <c r="W26" s="61">
        <f t="shared" ref="W26" si="91">V26/$T$39</f>
        <v>0.5548872901031674</v>
      </c>
      <c r="X26" s="63">
        <f>U26/$T$40</f>
        <v>0.46830332182861462</v>
      </c>
      <c r="Y26" s="3"/>
      <c r="Z26" s="58">
        <f t="shared" ref="Z26" si="92">AVERAGE(E26:E28)</f>
        <v>197.24333333333334</v>
      </c>
      <c r="AA26" s="61">
        <f t="shared" ref="AA26" si="93">_xlfn.STDEV.S(E26:E28)</f>
        <v>1.6496161169597348</v>
      </c>
      <c r="AB26" s="61">
        <f t="shared" ref="AB26" si="94">Z26-$Z$38</f>
        <v>2.5262500000000045</v>
      </c>
      <c r="AC26" s="61">
        <f t="shared" ref="AC26" si="95">AB26/$Z$39</f>
        <v>0.97350500838461262</v>
      </c>
      <c r="AD26" s="63">
        <f>AA26/$Z$40</f>
        <v>0.62840960798795487</v>
      </c>
      <c r="AE26" s="3"/>
      <c r="AF26" s="58">
        <f t="shared" ref="AF26" si="96">AVERAGE(F26:F28)</f>
        <v>295.27</v>
      </c>
      <c r="AG26" s="61">
        <f t="shared" ref="AG26" si="97">_xlfn.STDEV.S(F26:F28)</f>
        <v>4.2781654946951413</v>
      </c>
      <c r="AH26" s="61">
        <f t="shared" ref="AH26" si="98">AF26-$AF$38</f>
        <v>0.73875000000003865</v>
      </c>
      <c r="AI26" s="61">
        <f t="shared" ref="AI26" si="99">AH26/$AF$39</f>
        <v>0.27329549608609488</v>
      </c>
      <c r="AJ26" s="63">
        <f>AG26/$AF$40</f>
        <v>1.0784268358662661</v>
      </c>
    </row>
    <row r="27" spans="1:36" outlineLevel="1" x14ac:dyDescent="0.2">
      <c r="A27" s="74"/>
      <c r="B27" s="5">
        <v>40.5</v>
      </c>
      <c r="C27" s="6">
        <v>79.27</v>
      </c>
      <c r="D27" s="6">
        <v>135.13999999999999</v>
      </c>
      <c r="E27" s="6">
        <v>198.26</v>
      </c>
      <c r="F27" s="7">
        <v>297.74</v>
      </c>
      <c r="G27" s="3"/>
      <c r="H27" s="70"/>
      <c r="I27" s="61"/>
      <c r="J27" s="61"/>
      <c r="K27" s="61"/>
      <c r="L27" s="63"/>
      <c r="M27" s="3"/>
      <c r="N27" s="70"/>
      <c r="O27" s="61"/>
      <c r="P27" s="61"/>
      <c r="Q27" s="61"/>
      <c r="R27" s="63"/>
      <c r="S27" s="3"/>
      <c r="T27" s="59"/>
      <c r="U27" s="61"/>
      <c r="V27" s="61"/>
      <c r="W27" s="61"/>
      <c r="X27" s="63"/>
      <c r="Y27" s="3"/>
      <c r="Z27" s="59"/>
      <c r="AA27" s="61"/>
      <c r="AB27" s="61"/>
      <c r="AC27" s="61"/>
      <c r="AD27" s="63"/>
      <c r="AE27" s="3"/>
      <c r="AF27" s="59"/>
      <c r="AG27" s="61"/>
      <c r="AH27" s="61"/>
      <c r="AI27" s="61"/>
      <c r="AJ27" s="63"/>
    </row>
    <row r="28" spans="1:36" ht="12" outlineLevel="1" thickBot="1" x14ac:dyDescent="0.25">
      <c r="A28" s="75"/>
      <c r="B28" s="5">
        <v>42.28</v>
      </c>
      <c r="C28" s="6">
        <v>81.75</v>
      </c>
      <c r="D28" s="6">
        <v>137.5</v>
      </c>
      <c r="E28" s="6">
        <v>198.13</v>
      </c>
      <c r="F28" s="7">
        <v>290.33</v>
      </c>
      <c r="G28" s="3"/>
      <c r="H28" s="70"/>
      <c r="I28" s="61"/>
      <c r="J28" s="61"/>
      <c r="K28" s="61"/>
      <c r="L28" s="63"/>
      <c r="M28" s="3"/>
      <c r="N28" s="70"/>
      <c r="O28" s="61"/>
      <c r="P28" s="61"/>
      <c r="Q28" s="61"/>
      <c r="R28" s="63"/>
      <c r="S28" s="3"/>
      <c r="T28" s="65"/>
      <c r="U28" s="61"/>
      <c r="V28" s="61"/>
      <c r="W28" s="61"/>
      <c r="X28" s="63"/>
      <c r="Y28" s="3"/>
      <c r="Z28" s="65"/>
      <c r="AA28" s="61"/>
      <c r="AB28" s="61"/>
      <c r="AC28" s="61"/>
      <c r="AD28" s="63"/>
      <c r="AE28" s="3"/>
      <c r="AF28" s="65"/>
      <c r="AG28" s="61"/>
      <c r="AH28" s="61"/>
      <c r="AI28" s="61"/>
      <c r="AJ28" s="63"/>
    </row>
    <row r="29" spans="1:36" ht="18.75" customHeight="1" thickBot="1" x14ac:dyDescent="0.25">
      <c r="B29" s="28"/>
      <c r="C29" s="28"/>
      <c r="D29" s="28"/>
      <c r="E29" s="28"/>
      <c r="F29" s="28"/>
      <c r="G29" s="3"/>
      <c r="H29" s="28"/>
      <c r="I29" s="28"/>
      <c r="J29" s="28"/>
      <c r="K29" s="28"/>
      <c r="L29" s="28"/>
      <c r="M29" s="3"/>
      <c r="N29" s="28"/>
      <c r="O29" s="28"/>
      <c r="P29" s="28"/>
      <c r="Q29" s="28"/>
      <c r="R29" s="28"/>
      <c r="S29" s="3"/>
      <c r="T29" s="3"/>
      <c r="U29" s="28"/>
      <c r="V29" s="28"/>
      <c r="W29" s="28"/>
      <c r="X29" s="28"/>
      <c r="Y29" s="3"/>
      <c r="Z29" s="3"/>
      <c r="AA29" s="28"/>
      <c r="AB29" s="28"/>
      <c r="AC29" s="28"/>
      <c r="AD29" s="28"/>
      <c r="AE29" s="3"/>
      <c r="AF29" s="3"/>
      <c r="AG29" s="28"/>
      <c r="AH29" s="28"/>
      <c r="AI29" s="28"/>
      <c r="AJ29" s="28"/>
    </row>
    <row r="30" spans="1:36" outlineLevel="1" x14ac:dyDescent="0.2">
      <c r="A30" s="73">
        <v>7</v>
      </c>
      <c r="B30" s="5">
        <v>41.08</v>
      </c>
      <c r="C30" s="6">
        <v>79.760000000000005</v>
      </c>
      <c r="D30" s="6">
        <v>130.97</v>
      </c>
      <c r="E30" s="6">
        <v>194.66</v>
      </c>
      <c r="F30" s="7">
        <v>287.29000000000002</v>
      </c>
      <c r="G30" s="3"/>
      <c r="H30" s="70">
        <f t="shared" ref="H30" si="100">AVERAGE(B30:B32)</f>
        <v>40.456666666666671</v>
      </c>
      <c r="I30" s="61">
        <f t="shared" ref="I30" si="101">_xlfn.STDEV.S(B30:B32)</f>
        <v>1.2478114173757708</v>
      </c>
      <c r="J30" s="61">
        <f t="shared" ref="J30" si="102">H30-$H$38</f>
        <v>-1.0616666666666603</v>
      </c>
      <c r="K30" s="61">
        <f t="shared" ref="K30" si="103">J30/$H$39</f>
        <v>-1.7515568389537635</v>
      </c>
      <c r="L30" s="63">
        <f>I30/$H$40</f>
        <v>1.173610743145886</v>
      </c>
      <c r="M30" s="3"/>
      <c r="N30" s="70">
        <f t="shared" ref="N30" si="104">AVERAGE(C30:C32)</f>
        <v>79.52</v>
      </c>
      <c r="O30" s="61">
        <f t="shared" ref="O30" si="105">_xlfn.STDEV.S(C30:C32)</f>
        <v>2.0605096456944865</v>
      </c>
      <c r="P30" s="61">
        <f t="shared" ref="P30" si="106">N30-$N$38</f>
        <v>-0.15958333333334451</v>
      </c>
      <c r="Q30" s="61">
        <f t="shared" ref="Q30" si="107">P30/$N$39</f>
        <v>-0.15914554319573843</v>
      </c>
      <c r="R30" s="63">
        <f>O30/$N$40</f>
        <v>1.3784022373619169</v>
      </c>
      <c r="S30" s="3"/>
      <c r="T30" s="58">
        <f t="shared" ref="T30" si="108">AVERAGE(D30:D32)</f>
        <v>132.49333333333334</v>
      </c>
      <c r="U30" s="61">
        <f t="shared" ref="U30" si="109">_xlfn.STDEV.S(D30:D32)</f>
        <v>2.1242959618031811</v>
      </c>
      <c r="V30" s="61">
        <f t="shared" ref="V30" si="110">T30-$T$38</f>
        <v>-2.6495833333333394</v>
      </c>
      <c r="W30" s="61">
        <f t="shared" ref="W30" si="111">V30/$T$39</f>
        <v>-0.99760482831949693</v>
      </c>
      <c r="X30" s="63">
        <f>U30/$T$40</f>
        <v>0.77295690499564329</v>
      </c>
      <c r="Y30" s="3"/>
      <c r="Z30" s="58">
        <f t="shared" ref="Z30" si="112">AVERAGE(E30:E32)</f>
        <v>191.26</v>
      </c>
      <c r="AA30" s="61">
        <f t="shared" ref="AA30" si="113">_xlfn.STDEV.S(E30:E32)</f>
        <v>3.817708736925856</v>
      </c>
      <c r="AB30" s="61">
        <f t="shared" ref="AB30" si="114">Z30-$Z$38</f>
        <v>-3.4570833333333439</v>
      </c>
      <c r="AC30" s="61">
        <f t="shared" ref="AC30" si="115">AB30/$Z$39</f>
        <v>-1.3322070022376944</v>
      </c>
      <c r="AD30" s="63">
        <f>AA30/$Z$40</f>
        <v>1.4543291776303167</v>
      </c>
      <c r="AE30" s="3"/>
      <c r="AF30" s="58">
        <f t="shared" ref="AF30" si="116">AVERAGE(F30:F32)</f>
        <v>290.13666666666666</v>
      </c>
      <c r="AG30" s="61">
        <f t="shared" ref="AG30" si="117">_xlfn.STDEV.S(F30:F32)</f>
        <v>3.3041842160105466</v>
      </c>
      <c r="AH30" s="61">
        <f t="shared" ref="AH30" si="118">AF30-$AF$38</f>
        <v>-4.3945833333332871</v>
      </c>
      <c r="AI30" s="61">
        <f t="shared" ref="AI30" si="119">AH30/$AF$39</f>
        <v>-1.6257459657190421</v>
      </c>
      <c r="AJ30" s="63">
        <f>AG30/$AF$40</f>
        <v>0.83290862254159526</v>
      </c>
    </row>
    <row r="31" spans="1:36" outlineLevel="1" x14ac:dyDescent="0.2">
      <c r="A31" s="74"/>
      <c r="B31" s="5">
        <v>41.27</v>
      </c>
      <c r="C31" s="6">
        <v>81.45</v>
      </c>
      <c r="D31" s="6">
        <v>131.59</v>
      </c>
      <c r="E31" s="6">
        <v>191.99</v>
      </c>
      <c r="F31" s="7">
        <v>293.76</v>
      </c>
      <c r="G31" s="3"/>
      <c r="H31" s="70"/>
      <c r="I31" s="61"/>
      <c r="J31" s="61"/>
      <c r="K31" s="61"/>
      <c r="L31" s="63"/>
      <c r="M31" s="3"/>
      <c r="N31" s="70"/>
      <c r="O31" s="61"/>
      <c r="P31" s="61"/>
      <c r="Q31" s="61"/>
      <c r="R31" s="63"/>
      <c r="S31" s="3"/>
      <c r="T31" s="59"/>
      <c r="U31" s="61"/>
      <c r="V31" s="61"/>
      <c r="W31" s="61"/>
      <c r="X31" s="63"/>
      <c r="Y31" s="3"/>
      <c r="Z31" s="59"/>
      <c r="AA31" s="61"/>
      <c r="AB31" s="61"/>
      <c r="AC31" s="61"/>
      <c r="AD31" s="63"/>
      <c r="AE31" s="3"/>
      <c r="AF31" s="59"/>
      <c r="AG31" s="61"/>
      <c r="AH31" s="61"/>
      <c r="AI31" s="61"/>
      <c r="AJ31" s="63"/>
    </row>
    <row r="32" spans="1:36" ht="12" outlineLevel="1" thickBot="1" x14ac:dyDescent="0.25">
      <c r="A32" s="75"/>
      <c r="B32" s="5">
        <v>39.020000000000003</v>
      </c>
      <c r="C32" s="6">
        <v>77.349999999999994</v>
      </c>
      <c r="D32" s="6">
        <v>134.91999999999999</v>
      </c>
      <c r="E32" s="6">
        <v>187.13</v>
      </c>
      <c r="F32" s="7">
        <v>289.36</v>
      </c>
      <c r="G32" s="3"/>
      <c r="H32" s="70"/>
      <c r="I32" s="61"/>
      <c r="J32" s="61"/>
      <c r="K32" s="61"/>
      <c r="L32" s="63"/>
      <c r="M32" s="3"/>
      <c r="N32" s="70"/>
      <c r="O32" s="61"/>
      <c r="P32" s="61"/>
      <c r="Q32" s="61"/>
      <c r="R32" s="63"/>
      <c r="S32" s="3"/>
      <c r="T32" s="65"/>
      <c r="U32" s="61"/>
      <c r="V32" s="61"/>
      <c r="W32" s="61"/>
      <c r="X32" s="63"/>
      <c r="Y32" s="3"/>
      <c r="Z32" s="65"/>
      <c r="AA32" s="61"/>
      <c r="AB32" s="61"/>
      <c r="AC32" s="61"/>
      <c r="AD32" s="63"/>
      <c r="AE32" s="3"/>
      <c r="AF32" s="65"/>
      <c r="AG32" s="61"/>
      <c r="AH32" s="61"/>
      <c r="AI32" s="61"/>
      <c r="AJ32" s="63"/>
    </row>
    <row r="33" spans="1:36" ht="18.75" customHeight="1" thickBot="1" x14ac:dyDescent="0.25">
      <c r="B33" s="28"/>
      <c r="C33" s="28"/>
      <c r="D33" s="28"/>
      <c r="E33" s="28"/>
      <c r="F33" s="28"/>
      <c r="G33" s="3"/>
      <c r="H33" s="28"/>
      <c r="I33" s="28"/>
      <c r="J33" s="28"/>
      <c r="K33" s="28"/>
      <c r="L33" s="28"/>
      <c r="M33" s="3"/>
      <c r="N33" s="28"/>
      <c r="O33" s="28"/>
      <c r="P33" s="28"/>
      <c r="Q33" s="28"/>
      <c r="R33" s="28"/>
      <c r="S33" s="3"/>
      <c r="T33" s="3"/>
      <c r="U33" s="28"/>
      <c r="V33" s="28"/>
      <c r="W33" s="28"/>
      <c r="X33" s="28"/>
      <c r="Y33" s="3"/>
      <c r="Z33" s="3"/>
      <c r="AA33" s="28"/>
      <c r="AB33" s="28"/>
      <c r="AC33" s="28"/>
      <c r="AD33" s="28"/>
      <c r="AE33" s="3"/>
      <c r="AF33" s="3"/>
      <c r="AG33" s="28"/>
      <c r="AH33" s="28"/>
      <c r="AI33" s="28"/>
      <c r="AJ33" s="28"/>
    </row>
    <row r="34" spans="1:36" outlineLevel="1" x14ac:dyDescent="0.2">
      <c r="A34" s="73">
        <v>8</v>
      </c>
      <c r="B34" s="5">
        <v>43.36</v>
      </c>
      <c r="C34" s="6">
        <v>80.44</v>
      </c>
      <c r="D34" s="6">
        <v>135.46</v>
      </c>
      <c r="E34" s="6">
        <v>197.56</v>
      </c>
      <c r="F34" s="7">
        <v>298.45999999999998</v>
      </c>
      <c r="G34" s="3"/>
      <c r="H34" s="70">
        <f t="shared" ref="H34" si="120">AVERAGE(B34:B36)</f>
        <v>42.576666666666661</v>
      </c>
      <c r="I34" s="61">
        <f t="shared" ref="I34" si="121">_xlfn.STDEV.S(B34:B36)</f>
        <v>0.82245567256438434</v>
      </c>
      <c r="J34" s="61">
        <f t="shared" ref="J34" si="122">H34-$H$38</f>
        <v>1.05833333333333</v>
      </c>
      <c r="K34" s="61">
        <f t="shared" ref="K34" si="123">J34/$H$39</f>
        <v>1.7460574454248712</v>
      </c>
      <c r="L34" s="63">
        <f>I34/$H$40</f>
        <v>0.77354863053970568</v>
      </c>
      <c r="M34" s="3"/>
      <c r="N34" s="70">
        <f t="shared" ref="N34" si="124">AVERAGE(C34:C36)</f>
        <v>80.346666666666678</v>
      </c>
      <c r="O34" s="61">
        <f t="shared" ref="O34" si="125">_xlfn.STDEV.S(C34:C36)</f>
        <v>0.50649119768593553</v>
      </c>
      <c r="P34" s="61">
        <f t="shared" ref="P34" si="126">N34-$N$38</f>
        <v>0.66708333333333769</v>
      </c>
      <c r="Q34" s="61">
        <f t="shared" ref="Q34" si="127">P34/$N$39</f>
        <v>0.6652533019748329</v>
      </c>
      <c r="R34" s="63">
        <f>O34/$N$40</f>
        <v>0.33882326227068077</v>
      </c>
      <c r="S34" s="3"/>
      <c r="T34" s="58">
        <f t="shared" ref="T34" si="128">AVERAGE(D34:D36)</f>
        <v>134.74333333333334</v>
      </c>
      <c r="U34" s="61">
        <f t="shared" ref="U34" si="129">_xlfn.STDEV.S(D34:D36)</f>
        <v>0.97736039071231995</v>
      </c>
      <c r="V34" s="61">
        <f t="shared" ref="V34" si="130">T34-$T$38</f>
        <v>-0.3995833333333394</v>
      </c>
      <c r="W34" s="61">
        <f t="shared" ref="W34" si="131">V34/$T$39</f>
        <v>-0.1504486602230555</v>
      </c>
      <c r="X34" s="63">
        <f>U34/$T$40</f>
        <v>0.35562721779552187</v>
      </c>
      <c r="Y34" s="3"/>
      <c r="Z34" s="58">
        <f t="shared" ref="Z34" si="132">AVERAGE(E34:E36)</f>
        <v>198.12333333333333</v>
      </c>
      <c r="AA34" s="61">
        <f t="shared" ref="AA34" si="133">_xlfn.STDEV.S(E34:E36)</f>
        <v>2.4637843520351561</v>
      </c>
      <c r="AB34" s="61">
        <f t="shared" ref="AB34" si="134">Z34-$Z$38</f>
        <v>3.40625</v>
      </c>
      <c r="AC34" s="61">
        <f t="shared" ref="AC34" si="135">AB34/$Z$39</f>
        <v>1.3126180840415955</v>
      </c>
      <c r="AD34" s="63">
        <f>AA34/$Z$40</f>
        <v>0.9385612464084947</v>
      </c>
      <c r="AE34" s="3"/>
      <c r="AF34" s="58">
        <f t="shared" ref="AF34" si="136">AVERAGE(F34:F36)</f>
        <v>296.62</v>
      </c>
      <c r="AG34" s="61">
        <f t="shared" ref="AG34" si="137">_xlfn.STDEV.S(F34:F36)</f>
        <v>1.6479077644091604</v>
      </c>
      <c r="AH34" s="61">
        <f t="shared" ref="AH34" si="138">AF34-$AF$38</f>
        <v>2.0887500000000614</v>
      </c>
      <c r="AI34" s="61">
        <f t="shared" ref="AI34" si="139">AH34/$AF$39</f>
        <v>0.77271873766472765</v>
      </c>
      <c r="AJ34" s="63">
        <f>AG34/$AF$40</f>
        <v>0.41539953477135444</v>
      </c>
    </row>
    <row r="35" spans="1:36" outlineLevel="1" x14ac:dyDescent="0.2">
      <c r="A35" s="74"/>
      <c r="B35" s="5">
        <v>42.65</v>
      </c>
      <c r="C35" s="6">
        <v>80.8</v>
      </c>
      <c r="D35" s="6">
        <v>135.13999999999999</v>
      </c>
      <c r="E35" s="6">
        <v>195.99</v>
      </c>
      <c r="F35" s="7">
        <v>295.27999999999997</v>
      </c>
      <c r="G35" s="3"/>
      <c r="H35" s="70"/>
      <c r="I35" s="61"/>
      <c r="J35" s="61"/>
      <c r="K35" s="61"/>
      <c r="L35" s="63"/>
      <c r="M35" s="3"/>
      <c r="N35" s="70"/>
      <c r="O35" s="61"/>
      <c r="P35" s="61"/>
      <c r="Q35" s="61"/>
      <c r="R35" s="63"/>
      <c r="S35" s="3"/>
      <c r="T35" s="59"/>
      <c r="U35" s="61"/>
      <c r="V35" s="61"/>
      <c r="W35" s="61"/>
      <c r="X35" s="63"/>
      <c r="Y35" s="3"/>
      <c r="Z35" s="59"/>
      <c r="AA35" s="61"/>
      <c r="AB35" s="61"/>
      <c r="AC35" s="61"/>
      <c r="AD35" s="63"/>
      <c r="AE35" s="3"/>
      <c r="AF35" s="59"/>
      <c r="AG35" s="61"/>
      <c r="AH35" s="61"/>
      <c r="AI35" s="61"/>
      <c r="AJ35" s="63"/>
    </row>
    <row r="36" spans="1:36" ht="12" outlineLevel="1" thickBot="1" x14ac:dyDescent="0.25">
      <c r="A36" s="75"/>
      <c r="B36" s="8">
        <v>41.72</v>
      </c>
      <c r="C36" s="9">
        <v>79.8</v>
      </c>
      <c r="D36" s="9">
        <v>133.63</v>
      </c>
      <c r="E36" s="9">
        <v>200.82</v>
      </c>
      <c r="F36" s="10">
        <v>296.12</v>
      </c>
      <c r="G36" s="3"/>
      <c r="H36" s="82"/>
      <c r="I36" s="62"/>
      <c r="J36" s="62"/>
      <c r="K36" s="62"/>
      <c r="L36" s="64"/>
      <c r="M36" s="3"/>
      <c r="N36" s="82"/>
      <c r="O36" s="62"/>
      <c r="P36" s="62"/>
      <c r="Q36" s="62"/>
      <c r="R36" s="64"/>
      <c r="S36" s="3"/>
      <c r="T36" s="60"/>
      <c r="U36" s="62"/>
      <c r="V36" s="62"/>
      <c r="W36" s="62"/>
      <c r="X36" s="64"/>
      <c r="Y36" s="3"/>
      <c r="Z36" s="60"/>
      <c r="AA36" s="62"/>
      <c r="AB36" s="62"/>
      <c r="AC36" s="62"/>
      <c r="AD36" s="64"/>
      <c r="AE36" s="3"/>
      <c r="AF36" s="60"/>
      <c r="AG36" s="62"/>
      <c r="AH36" s="62"/>
      <c r="AI36" s="62"/>
      <c r="AJ36" s="64"/>
    </row>
    <row r="37" spans="1:36" ht="18.75" customHeight="1" thickBot="1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1" customFormat="1" x14ac:dyDescent="0.2">
      <c r="A38" s="83" t="s">
        <v>9</v>
      </c>
      <c r="B38" s="84"/>
      <c r="C38" s="84"/>
      <c r="D38" s="84"/>
      <c r="E38" s="84"/>
      <c r="F38" s="85"/>
      <c r="G38" s="13"/>
      <c r="H38" s="46">
        <f t="shared" ref="H38" si="140">AVERAGE(H6:H36)</f>
        <v>41.518333333333331</v>
      </c>
      <c r="I38" s="47"/>
      <c r="J38" s="47"/>
      <c r="K38" s="47"/>
      <c r="L38" s="48"/>
      <c r="M38" s="17"/>
      <c r="N38" s="46">
        <f t="shared" ref="N38" si="141">AVERAGE(N6:N36)</f>
        <v>79.679583333333341</v>
      </c>
      <c r="O38" s="47"/>
      <c r="P38" s="47"/>
      <c r="Q38" s="47"/>
      <c r="R38" s="48"/>
      <c r="S38" s="17"/>
      <c r="T38" s="46">
        <f t="shared" ref="T38" si="142">AVERAGE(T6:T36)</f>
        <v>135.14291666666668</v>
      </c>
      <c r="U38" s="47"/>
      <c r="V38" s="47"/>
      <c r="W38" s="47"/>
      <c r="X38" s="48"/>
      <c r="Y38" s="17"/>
      <c r="Z38" s="46">
        <f t="shared" ref="Z38" si="143">AVERAGE(Z6:Z36)</f>
        <v>194.71708333333333</v>
      </c>
      <c r="AA38" s="47"/>
      <c r="AB38" s="47"/>
      <c r="AC38" s="47"/>
      <c r="AD38" s="48"/>
      <c r="AE38" s="17"/>
      <c r="AF38" s="46">
        <f t="shared" ref="AF38" si="144">AVERAGE(AF6:AF36)</f>
        <v>294.53124999999994</v>
      </c>
      <c r="AG38" s="47"/>
      <c r="AH38" s="47"/>
      <c r="AI38" s="47"/>
      <c r="AJ38" s="48"/>
    </row>
    <row r="39" spans="1:36" s="1" customFormat="1" x14ac:dyDescent="0.2">
      <c r="A39" s="86" t="s">
        <v>10</v>
      </c>
      <c r="B39" s="87"/>
      <c r="C39" s="87"/>
      <c r="D39" s="87"/>
      <c r="E39" s="87"/>
      <c r="F39" s="88"/>
      <c r="G39" s="14"/>
      <c r="H39" s="49">
        <f t="shared" ref="H39" si="145">_xlfn.STDEV.S(H6:H36)</f>
        <v>0.60612744220211145</v>
      </c>
      <c r="I39" s="50"/>
      <c r="J39" s="50"/>
      <c r="K39" s="50"/>
      <c r="L39" s="51"/>
      <c r="M39" s="17"/>
      <c r="N39" s="49">
        <f t="shared" ref="N39" si="146">_xlfn.STDEV.S(N6:N36)</f>
        <v>1.0027508790306974</v>
      </c>
      <c r="O39" s="50"/>
      <c r="P39" s="50"/>
      <c r="Q39" s="50"/>
      <c r="R39" s="51"/>
      <c r="S39" s="17"/>
      <c r="T39" s="49">
        <f>_xlfn.STDEV.S(T6:T36)</f>
        <v>2.6559447770483056</v>
      </c>
      <c r="U39" s="50"/>
      <c r="V39" s="50"/>
      <c r="W39" s="50"/>
      <c r="X39" s="51"/>
      <c r="Y39" s="17"/>
      <c r="Z39" s="49">
        <f t="shared" ref="Z39" si="147">_xlfn.STDEV.S(Z6:Z36)</f>
        <v>2.5950046258025341</v>
      </c>
      <c r="AA39" s="50"/>
      <c r="AB39" s="50"/>
      <c r="AC39" s="50"/>
      <c r="AD39" s="51"/>
      <c r="AE39" s="17"/>
      <c r="AF39" s="49">
        <f t="shared" ref="AF39" si="148">_xlfn.STDEV.S(AF6:AF36)</f>
        <v>2.7031180922473528</v>
      </c>
      <c r="AG39" s="50"/>
      <c r="AH39" s="50"/>
      <c r="AI39" s="50"/>
      <c r="AJ39" s="51"/>
    </row>
    <row r="40" spans="1:36" s="1" customFormat="1" x14ac:dyDescent="0.2">
      <c r="A40" s="86" t="s">
        <v>11</v>
      </c>
      <c r="B40" s="87"/>
      <c r="C40" s="87"/>
      <c r="D40" s="87"/>
      <c r="E40" s="87"/>
      <c r="F40" s="88"/>
      <c r="G40" s="14"/>
      <c r="H40" s="52">
        <f>SQRT(SUMSQ(I6:I36)/$A$34)</f>
        <v>1.0632242629536506</v>
      </c>
      <c r="I40" s="53"/>
      <c r="J40" s="53"/>
      <c r="K40" s="53"/>
      <c r="L40" s="54"/>
      <c r="M40" s="18"/>
      <c r="N40" s="52">
        <f>SQRT(SUMSQ(O6:O36)/$A$34)</f>
        <v>1.4948536717685794</v>
      </c>
      <c r="O40" s="53"/>
      <c r="P40" s="53"/>
      <c r="Q40" s="53"/>
      <c r="R40" s="54"/>
      <c r="S40" s="18"/>
      <c r="T40" s="52">
        <f>SQRT(SUMSQ(U6:U36)/$A$34)</f>
        <v>2.748272184482464</v>
      </c>
      <c r="U40" s="53"/>
      <c r="V40" s="53"/>
      <c r="W40" s="53"/>
      <c r="X40" s="54"/>
      <c r="Y40" s="18"/>
      <c r="Z40" s="52">
        <f>SQRT(SUMSQ(AA6:AA36)/$A$34)</f>
        <v>2.6250650785583693</v>
      </c>
      <c r="AA40" s="53"/>
      <c r="AB40" s="53"/>
      <c r="AC40" s="53"/>
      <c r="AD40" s="54"/>
      <c r="AE40" s="18"/>
      <c r="AF40" s="52">
        <f>SQRT(SUMSQ(AG6:AG36)/$A$34)</f>
        <v>3.9670428743166677</v>
      </c>
      <c r="AG40" s="53"/>
      <c r="AH40" s="53"/>
      <c r="AI40" s="53"/>
      <c r="AJ40" s="54"/>
    </row>
    <row r="41" spans="1:36" s="1" customFormat="1" ht="12" thickBot="1" x14ac:dyDescent="0.25">
      <c r="A41" s="76" t="s">
        <v>12</v>
      </c>
      <c r="B41" s="77"/>
      <c r="C41" s="77"/>
      <c r="D41" s="77"/>
      <c r="E41" s="77"/>
      <c r="F41" s="78"/>
      <c r="G41" s="14"/>
      <c r="H41" s="79">
        <f>H40</f>
        <v>1.0632242629536506</v>
      </c>
      <c r="I41" s="80"/>
      <c r="J41" s="80"/>
      <c r="K41" s="80"/>
      <c r="L41" s="81"/>
      <c r="M41" s="18"/>
      <c r="N41" s="55">
        <f>SQRT((N39^2)+(N40^2)*((3-1)/3))</f>
        <v>1.5796310725599314</v>
      </c>
      <c r="O41" s="56"/>
      <c r="P41" s="56"/>
      <c r="Q41" s="56"/>
      <c r="R41" s="57"/>
      <c r="S41" s="18"/>
      <c r="T41" s="55">
        <f>SQRT((T39^2)+(T40^2)*((3-1)/3))</f>
        <v>3.4769779970634724</v>
      </c>
      <c r="U41" s="56"/>
      <c r="V41" s="56"/>
      <c r="W41" s="56"/>
      <c r="X41" s="57"/>
      <c r="Y41" s="18"/>
      <c r="Z41" s="55">
        <f>SQRT((Z39^2)+(Z40^2)*((3-1)/3))</f>
        <v>3.3657134140794462</v>
      </c>
      <c r="AA41" s="56"/>
      <c r="AB41" s="56"/>
      <c r="AC41" s="56"/>
      <c r="AD41" s="57"/>
      <c r="AE41" s="18"/>
      <c r="AF41" s="55">
        <f>SQRT((AF39^2)+(AF40^2)*((3-1)/3))</f>
        <v>4.2188229241198778</v>
      </c>
      <c r="AG41" s="56"/>
      <c r="AH41" s="56"/>
      <c r="AI41" s="56"/>
      <c r="AJ41" s="57"/>
    </row>
  </sheetData>
  <mergeCells count="240">
    <mergeCell ref="A1:AJ1"/>
    <mergeCell ref="A3:A4"/>
    <mergeCell ref="B3:F3"/>
    <mergeCell ref="N34:N36"/>
    <mergeCell ref="O34:O36"/>
    <mergeCell ref="P34:P36"/>
    <mergeCell ref="Q34:Q36"/>
    <mergeCell ref="R34:R36"/>
    <mergeCell ref="H38:L38"/>
    <mergeCell ref="N38:R38"/>
    <mergeCell ref="N26:N28"/>
    <mergeCell ref="O26:O28"/>
    <mergeCell ref="P26:P28"/>
    <mergeCell ref="Q26:Q28"/>
    <mergeCell ref="R26:R28"/>
    <mergeCell ref="N30:N32"/>
    <mergeCell ref="O30:O32"/>
    <mergeCell ref="P30:P32"/>
    <mergeCell ref="Q30:Q32"/>
    <mergeCell ref="R30:R32"/>
    <mergeCell ref="N14:N16"/>
    <mergeCell ref="O14:O16"/>
    <mergeCell ref="P14:P16"/>
    <mergeCell ref="Q14:Q16"/>
    <mergeCell ref="R14:R16"/>
    <mergeCell ref="N39:R39"/>
    <mergeCell ref="N40:R40"/>
    <mergeCell ref="N41:R41"/>
    <mergeCell ref="N22:N24"/>
    <mergeCell ref="O22:O24"/>
    <mergeCell ref="P22:P24"/>
    <mergeCell ref="Q22:Q24"/>
    <mergeCell ref="R22:R24"/>
    <mergeCell ref="N18:N20"/>
    <mergeCell ref="O18:O20"/>
    <mergeCell ref="P18:P20"/>
    <mergeCell ref="Q18:Q20"/>
    <mergeCell ref="R18:R20"/>
    <mergeCell ref="N10:N12"/>
    <mergeCell ref="O10:O12"/>
    <mergeCell ref="P10:P12"/>
    <mergeCell ref="Q10:Q12"/>
    <mergeCell ref="R10:R12"/>
    <mergeCell ref="H3:L3"/>
    <mergeCell ref="N3:R3"/>
    <mergeCell ref="N6:N8"/>
    <mergeCell ref="O6:O8"/>
    <mergeCell ref="P6:P8"/>
    <mergeCell ref="Q6:Q8"/>
    <mergeCell ref="R6:R8"/>
    <mergeCell ref="K6:K8"/>
    <mergeCell ref="L6:L8"/>
    <mergeCell ref="J6:J8"/>
    <mergeCell ref="I6:I8"/>
    <mergeCell ref="H6:H8"/>
    <mergeCell ref="J10:J12"/>
    <mergeCell ref="H10:H12"/>
    <mergeCell ref="A41:F41"/>
    <mergeCell ref="H39:L39"/>
    <mergeCell ref="H40:L40"/>
    <mergeCell ref="H41:L41"/>
    <mergeCell ref="K22:K24"/>
    <mergeCell ref="L22:L24"/>
    <mergeCell ref="K26:K28"/>
    <mergeCell ref="L26:L28"/>
    <mergeCell ref="K30:K32"/>
    <mergeCell ref="L30:L32"/>
    <mergeCell ref="J30:J32"/>
    <mergeCell ref="J34:J36"/>
    <mergeCell ref="H30:H32"/>
    <mergeCell ref="H34:H36"/>
    <mergeCell ref="I30:I32"/>
    <mergeCell ref="I34:I36"/>
    <mergeCell ref="K34:K36"/>
    <mergeCell ref="L34:L36"/>
    <mergeCell ref="A38:F38"/>
    <mergeCell ref="A39:F39"/>
    <mergeCell ref="A40:F40"/>
    <mergeCell ref="J14:J16"/>
    <mergeCell ref="J18:J20"/>
    <mergeCell ref="J22:J24"/>
    <mergeCell ref="J26:J28"/>
    <mergeCell ref="K10:K12"/>
    <mergeCell ref="L10:L12"/>
    <mergeCell ref="K14:K16"/>
    <mergeCell ref="L14:L16"/>
    <mergeCell ref="K18:K20"/>
    <mergeCell ref="L18:L20"/>
    <mergeCell ref="H14:H16"/>
    <mergeCell ref="H18:H20"/>
    <mergeCell ref="H22:H24"/>
    <mergeCell ref="H26:H28"/>
    <mergeCell ref="I10:I12"/>
    <mergeCell ref="I14:I16"/>
    <mergeCell ref="I18:I20"/>
    <mergeCell ref="I22:I24"/>
    <mergeCell ref="I26:I28"/>
    <mergeCell ref="T10:T12"/>
    <mergeCell ref="U10:U12"/>
    <mergeCell ref="V10:V12"/>
    <mergeCell ref="W10:W12"/>
    <mergeCell ref="X10:X12"/>
    <mergeCell ref="T3:X3"/>
    <mergeCell ref="T6:T8"/>
    <mergeCell ref="U6:U8"/>
    <mergeCell ref="V6:V8"/>
    <mergeCell ref="W6:W8"/>
    <mergeCell ref="X6:X8"/>
    <mergeCell ref="T18:T20"/>
    <mergeCell ref="U18:U20"/>
    <mergeCell ref="V18:V20"/>
    <mergeCell ref="W18:W20"/>
    <mergeCell ref="X18:X20"/>
    <mergeCell ref="T14:T16"/>
    <mergeCell ref="U14:U16"/>
    <mergeCell ref="V14:V16"/>
    <mergeCell ref="W14:W16"/>
    <mergeCell ref="X14:X16"/>
    <mergeCell ref="W30:W32"/>
    <mergeCell ref="X30:X32"/>
    <mergeCell ref="T26:T28"/>
    <mergeCell ref="U26:U28"/>
    <mergeCell ref="V26:V28"/>
    <mergeCell ref="W26:W28"/>
    <mergeCell ref="X26:X28"/>
    <mergeCell ref="T22:T24"/>
    <mergeCell ref="U22:U24"/>
    <mergeCell ref="V22:V24"/>
    <mergeCell ref="W22:W24"/>
    <mergeCell ref="X22:X24"/>
    <mergeCell ref="T38:X38"/>
    <mergeCell ref="T39:X39"/>
    <mergeCell ref="T40:X40"/>
    <mergeCell ref="T41:X41"/>
    <mergeCell ref="Z3:AD3"/>
    <mergeCell ref="Z6:Z8"/>
    <mergeCell ref="AA6:AA8"/>
    <mergeCell ref="AB6:AB8"/>
    <mergeCell ref="AC6:AC8"/>
    <mergeCell ref="AD6:AD8"/>
    <mergeCell ref="Z10:Z12"/>
    <mergeCell ref="AA10:AA12"/>
    <mergeCell ref="AB10:AB12"/>
    <mergeCell ref="AC10:AC12"/>
    <mergeCell ref="AD10:AD12"/>
    <mergeCell ref="Z14:Z16"/>
    <mergeCell ref="T34:T36"/>
    <mergeCell ref="U34:U36"/>
    <mergeCell ref="V34:V36"/>
    <mergeCell ref="W34:W36"/>
    <mergeCell ref="X34:X36"/>
    <mergeCell ref="T30:T32"/>
    <mergeCell ref="U30:U32"/>
    <mergeCell ref="V30:V32"/>
    <mergeCell ref="Z41:AD41"/>
    <mergeCell ref="A6:A8"/>
    <mergeCell ref="A10:A12"/>
    <mergeCell ref="A14:A16"/>
    <mergeCell ref="A18:A20"/>
    <mergeCell ref="A22:A24"/>
    <mergeCell ref="A26:A28"/>
    <mergeCell ref="A30:A32"/>
    <mergeCell ref="A34:A36"/>
    <mergeCell ref="Z34:Z36"/>
    <mergeCell ref="AA34:AA36"/>
    <mergeCell ref="AB34:AB36"/>
    <mergeCell ref="AC34:AC36"/>
    <mergeCell ref="AD34:AD36"/>
    <mergeCell ref="Z30:Z32"/>
    <mergeCell ref="AA30:AA32"/>
    <mergeCell ref="AB30:AB32"/>
    <mergeCell ref="AC30:AC32"/>
    <mergeCell ref="AD30:AD32"/>
    <mergeCell ref="Z26:Z28"/>
    <mergeCell ref="AA26:AA28"/>
    <mergeCell ref="AB26:AB28"/>
    <mergeCell ref="AC26:AC28"/>
    <mergeCell ref="AD26:AD28"/>
    <mergeCell ref="AF3:AJ3"/>
    <mergeCell ref="AF6:AF8"/>
    <mergeCell ref="AG6:AG8"/>
    <mergeCell ref="AH6:AH8"/>
    <mergeCell ref="AI6:AI8"/>
    <mergeCell ref="AJ6:AJ8"/>
    <mergeCell ref="Z38:AD38"/>
    <mergeCell ref="Z39:AD39"/>
    <mergeCell ref="Z40:AD40"/>
    <mergeCell ref="Z22:Z24"/>
    <mergeCell ref="AA22:AA24"/>
    <mergeCell ref="AB22:AB24"/>
    <mergeCell ref="AC22:AC24"/>
    <mergeCell ref="AD22:AD24"/>
    <mergeCell ref="AA14:AA16"/>
    <mergeCell ref="AB14:AB16"/>
    <mergeCell ref="AC14:AC16"/>
    <mergeCell ref="AD14:AD16"/>
    <mergeCell ref="Z18:Z20"/>
    <mergeCell ref="AA18:AA20"/>
    <mergeCell ref="AB18:AB20"/>
    <mergeCell ref="AC18:AC20"/>
    <mergeCell ref="AD18:AD20"/>
    <mergeCell ref="AF14:AF16"/>
    <mergeCell ref="AG14:AG16"/>
    <mergeCell ref="AH14:AH16"/>
    <mergeCell ref="AI14:AI16"/>
    <mergeCell ref="AJ14:AJ16"/>
    <mergeCell ref="AF10:AF12"/>
    <mergeCell ref="AG10:AG12"/>
    <mergeCell ref="AH10:AH12"/>
    <mergeCell ref="AI10:AI12"/>
    <mergeCell ref="AJ10:AJ12"/>
    <mergeCell ref="AF22:AF24"/>
    <mergeCell ref="AG22:AG24"/>
    <mergeCell ref="AH22:AH24"/>
    <mergeCell ref="AI22:AI24"/>
    <mergeCell ref="AJ22:AJ24"/>
    <mergeCell ref="AF18:AF20"/>
    <mergeCell ref="AG18:AG20"/>
    <mergeCell ref="AH18:AH20"/>
    <mergeCell ref="AI18:AI20"/>
    <mergeCell ref="AJ18:AJ20"/>
    <mergeCell ref="AF30:AF32"/>
    <mergeCell ref="AG30:AG32"/>
    <mergeCell ref="AH30:AH32"/>
    <mergeCell ref="AI30:AI32"/>
    <mergeCell ref="AJ30:AJ32"/>
    <mergeCell ref="AF26:AF28"/>
    <mergeCell ref="AG26:AG28"/>
    <mergeCell ref="AH26:AH28"/>
    <mergeCell ref="AI26:AI28"/>
    <mergeCell ref="AJ26:AJ28"/>
    <mergeCell ref="AF38:AJ38"/>
    <mergeCell ref="AF39:AJ39"/>
    <mergeCell ref="AF40:AJ40"/>
    <mergeCell ref="AF41:AJ41"/>
    <mergeCell ref="AF34:AF36"/>
    <mergeCell ref="AG34:AG36"/>
    <mergeCell ref="AH34:AH36"/>
    <mergeCell ref="AI34:AI36"/>
    <mergeCell ref="AJ34:AJ36"/>
  </mergeCells>
  <pageMargins left="0.23622047244094491" right="0.23622047244094491" top="0.74803149606299213" bottom="0.74803149606299213" header="0.31496062992125984" footer="0.31496062992125984"/>
  <pageSetup paperSize="9" scale="36" orientation="landscape" horizontalDpi="1200" verticalDpi="0" r:id="rId1"/>
  <ignoredErrors>
    <ignoredError sqref="Z34:AA36 T34:U36 N34:O36 H34:I36 AF34:AG36 AF6:AG8 H6:I8 N6:O8 T6:U8 Z6:AA8 AF10:AG12 H10:I12 N10:O12 T10:U12 Z10:AA12 AF14:AG16 H14:I16 N14:O16 T14:U16 Z14:AA16 AF18:AG20 H18:I20 N18:O20 T18:U20 Z18:AA20 AF22:AG24 H22:I24 N22:O24 T22:U24 Z22:AA24 AF26:AG28 H26:I28 N26:O28 T26:U28 Z26:AA28 AF30:AG32 H30:I32 N30:O32 T30:U32 Z30:AA3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82705-B812-4674-A9B2-E623D1C1F31C}">
  <sheetPr>
    <tabColor theme="4"/>
    <pageSetUpPr fitToPage="1"/>
  </sheetPr>
  <dimension ref="A1:G12"/>
  <sheetViews>
    <sheetView showGridLines="0" zoomScale="115" zoomScaleNormal="115" workbookViewId="0">
      <selection activeCell="A4" sqref="A4"/>
    </sheetView>
  </sheetViews>
  <sheetFormatPr defaultColWidth="9.42578125" defaultRowHeight="11.25" x14ac:dyDescent="0.2"/>
  <cols>
    <col min="1" max="1" width="16.5703125" style="4" customWidth="1"/>
    <col min="2" max="6" width="16.5703125" style="11" customWidth="1"/>
    <col min="7" max="16384" width="9.42578125" style="4"/>
  </cols>
  <sheetData>
    <row r="1" spans="1:7" ht="26.25" x14ac:dyDescent="0.2">
      <c r="A1" s="90" t="s">
        <v>23</v>
      </c>
      <c r="B1" s="90"/>
      <c r="C1" s="90"/>
      <c r="D1" s="90"/>
      <c r="E1" s="90"/>
      <c r="F1" s="90"/>
    </row>
    <row r="3" spans="1:7" ht="12.75" x14ac:dyDescent="0.2">
      <c r="A3" s="96" t="s">
        <v>23</v>
      </c>
      <c r="B3" s="96"/>
      <c r="C3" s="96"/>
      <c r="D3" s="96"/>
      <c r="E3" s="96"/>
      <c r="F3" s="96"/>
    </row>
    <row r="4" spans="1:7" x14ac:dyDescent="0.2">
      <c r="A4" s="12" t="s">
        <v>22</v>
      </c>
      <c r="B4" s="12" t="s">
        <v>15</v>
      </c>
      <c r="C4" s="12" t="s">
        <v>16</v>
      </c>
      <c r="D4" s="12" t="s">
        <v>17</v>
      </c>
      <c r="E4" s="12" t="s">
        <v>18</v>
      </c>
      <c r="F4" s="12" t="s">
        <v>19</v>
      </c>
      <c r="G4" s="12" t="s">
        <v>32</v>
      </c>
    </row>
    <row r="5" spans="1:7" x14ac:dyDescent="0.2">
      <c r="A5" s="12">
        <f>'Interlab Calculations'!A6</f>
        <v>1</v>
      </c>
      <c r="B5" s="6">
        <f>'Interlab Calculations'!L6</f>
        <v>0.20974852018787252</v>
      </c>
      <c r="C5" s="6">
        <f>'Interlab Calculations'!R6</f>
        <v>0.10584263874038403</v>
      </c>
      <c r="D5" s="6">
        <f>'Interlab Calculations'!X6</f>
        <v>0.21502952830931904</v>
      </c>
      <c r="E5" s="6">
        <f>'Interlab Calculations'!AD6</f>
        <v>2.285657620075195E-2</v>
      </c>
      <c r="F5" s="6">
        <f>'Interlab Calculations'!AJ6</f>
        <v>0.18317397728948823</v>
      </c>
      <c r="G5" s="39">
        <v>2.06</v>
      </c>
    </row>
    <row r="6" spans="1:7" x14ac:dyDescent="0.2">
      <c r="A6" s="12">
        <f>'Interlab Calculations'!A10</f>
        <v>2</v>
      </c>
      <c r="B6" s="6">
        <f>'Interlab Calculations'!L10</f>
        <v>0.45623235880438351</v>
      </c>
      <c r="C6" s="6">
        <f>'Interlab Calculations'!R10</f>
        <v>0.88761256940276823</v>
      </c>
      <c r="D6" s="6">
        <f>'Interlab Calculations'!X10</f>
        <v>0.78885166539584495</v>
      </c>
      <c r="E6" s="6">
        <f>'Interlab Calculations'!AD10</f>
        <v>1.7837297927516682</v>
      </c>
      <c r="F6" s="36">
        <f>'Interlab Calculations'!AJ10</f>
        <v>2.3158069694182646</v>
      </c>
      <c r="G6" s="39">
        <v>2.06</v>
      </c>
    </row>
    <row r="7" spans="1:7" x14ac:dyDescent="0.2">
      <c r="A7" s="12">
        <f>'Interlab Calculations'!A14</f>
        <v>3</v>
      </c>
      <c r="B7" s="6">
        <f>'Interlab Calculations'!L14</f>
        <v>0.99772138453867032</v>
      </c>
      <c r="C7" s="6">
        <f>'Interlab Calculations'!R14</f>
        <v>0.55545317823585949</v>
      </c>
      <c r="D7" s="6">
        <f>'Interlab Calculations'!X14</f>
        <v>0.62904457235582745</v>
      </c>
      <c r="E7" s="6">
        <f>'Interlab Calculations'!AD14</f>
        <v>0.60691993176112169</v>
      </c>
      <c r="F7" s="6">
        <f>'Interlab Calculations'!AJ14</f>
        <v>0.68315639248363269</v>
      </c>
      <c r="G7" s="39">
        <v>2.06</v>
      </c>
    </row>
    <row r="8" spans="1:7" x14ac:dyDescent="0.2">
      <c r="A8" s="12">
        <f>'Interlab Calculations'!A18</f>
        <v>4</v>
      </c>
      <c r="B8" s="6">
        <f>'Interlab Calculations'!L18</f>
        <v>1.7040396418954282</v>
      </c>
      <c r="C8" s="6">
        <f>'Interlab Calculations'!R18</f>
        <v>1.8465930803177641</v>
      </c>
      <c r="D8" s="36">
        <f>'Interlab Calculations'!X18</f>
        <v>2.4087944039713589</v>
      </c>
      <c r="E8" s="6">
        <f>'Interlab Calculations'!AD18</f>
        <v>0.73771577489335827</v>
      </c>
      <c r="F8" s="6">
        <f>'Interlab Calculations'!AJ18</f>
        <v>0.22272819395076979</v>
      </c>
      <c r="G8" s="39">
        <v>2.06</v>
      </c>
    </row>
    <row r="9" spans="1:7" x14ac:dyDescent="0.2">
      <c r="A9" s="12">
        <f>'Interlab Calculations'!A22</f>
        <v>5</v>
      </c>
      <c r="B9" s="6">
        <f>'Interlab Calculations'!L22</f>
        <v>0.34484870935873307</v>
      </c>
      <c r="C9" s="6">
        <f>'Interlab Calculations'!R22</f>
        <v>0.51873663371335632</v>
      </c>
      <c r="D9" s="6">
        <f>'Interlab Calculations'!X22</f>
        <v>0.43617278811277421</v>
      </c>
      <c r="E9" s="6">
        <f>'Interlab Calculations'!AD22</f>
        <v>0.71717503421460627</v>
      </c>
      <c r="F9" s="6">
        <f>'Interlab Calculations'!AJ22</f>
        <v>0.2405761462759759</v>
      </c>
      <c r="G9" s="39">
        <v>2.06</v>
      </c>
    </row>
    <row r="10" spans="1:7" x14ac:dyDescent="0.2">
      <c r="A10" s="12">
        <f>'Interlab Calculations'!A26</f>
        <v>6</v>
      </c>
      <c r="B10" s="6">
        <f>'Interlab Calculations'!L26</f>
        <v>1.3243859853374507</v>
      </c>
      <c r="C10" s="6">
        <f>'Interlab Calculations'!R26</f>
        <v>1.0948175184918134</v>
      </c>
      <c r="D10" s="6">
        <f>'Interlab Calculations'!X26</f>
        <v>0.46830332182861462</v>
      </c>
      <c r="E10" s="6">
        <f>'Interlab Calculations'!AD26</f>
        <v>0.62840960798795487</v>
      </c>
      <c r="F10" s="6">
        <f>'Interlab Calculations'!AJ26</f>
        <v>1.0784268358662661</v>
      </c>
      <c r="G10" s="39">
        <v>2.06</v>
      </c>
    </row>
    <row r="11" spans="1:7" x14ac:dyDescent="0.2">
      <c r="A11" s="12">
        <f>'Interlab Calculations'!A30</f>
        <v>7</v>
      </c>
      <c r="B11" s="6">
        <f>'Interlab Calculations'!L30</f>
        <v>1.173610743145886</v>
      </c>
      <c r="C11" s="6">
        <f>'Interlab Calculations'!R30</f>
        <v>1.3784022373619169</v>
      </c>
      <c r="D11" s="6">
        <f>'Interlab Calculations'!X30</f>
        <v>0.77295690499564329</v>
      </c>
      <c r="E11" s="6">
        <f>'Interlab Calculations'!AD30</f>
        <v>1.4543291776303167</v>
      </c>
      <c r="F11" s="6">
        <f>'Interlab Calculations'!AJ30</f>
        <v>0.83290862254159526</v>
      </c>
      <c r="G11" s="39">
        <v>2.06</v>
      </c>
    </row>
    <row r="12" spans="1:7" x14ac:dyDescent="0.2">
      <c r="A12" s="12">
        <f>'Interlab Calculations'!A34</f>
        <v>8</v>
      </c>
      <c r="B12" s="6">
        <f>'Interlab Calculations'!L34</f>
        <v>0.77354863053970568</v>
      </c>
      <c r="C12" s="6">
        <f>'Interlab Calculations'!R34</f>
        <v>0.33882326227068077</v>
      </c>
      <c r="D12" s="6">
        <f>'Interlab Calculations'!X34</f>
        <v>0.35562721779552187</v>
      </c>
      <c r="E12" s="6">
        <f>'Interlab Calculations'!AD34</f>
        <v>0.9385612464084947</v>
      </c>
      <c r="F12" s="6">
        <f>'Interlab Calculations'!AJ34</f>
        <v>0.41539953477135444</v>
      </c>
      <c r="G12" s="39">
        <v>2.06</v>
      </c>
    </row>
  </sheetData>
  <autoFilter ref="A4:F4" xr:uid="{D5182705-B812-4674-A9B2-E623D1C1F31C}"/>
  <mergeCells count="2">
    <mergeCell ref="A3:F3"/>
    <mergeCell ref="A1:F1"/>
  </mergeCells>
  <pageMargins left="0.25" right="0.25" top="0.75" bottom="0.75" header="0.3" footer="0.3"/>
  <pageSetup paperSize="9" scale="91" orientation="portrait" horizontalDpi="120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5AFE-70F5-4662-8691-0DC6CEA22FF4}">
  <sheetPr>
    <tabColor theme="9"/>
    <pageSetUpPr fitToPage="1"/>
  </sheetPr>
  <dimension ref="A1:I12"/>
  <sheetViews>
    <sheetView showGridLines="0" topLeftCell="A2" zoomScale="115" zoomScaleNormal="115" workbookViewId="0">
      <selection activeCell="J28" sqref="J28"/>
    </sheetView>
  </sheetViews>
  <sheetFormatPr defaultColWidth="9.42578125" defaultRowHeight="11.25" x14ac:dyDescent="0.2"/>
  <cols>
    <col min="1" max="1" width="16.5703125" style="4" customWidth="1"/>
    <col min="2" max="6" width="16.5703125" style="11" customWidth="1"/>
    <col min="7" max="16384" width="9.42578125" style="4"/>
  </cols>
  <sheetData>
    <row r="1" spans="1:9" ht="26.25" x14ac:dyDescent="0.2">
      <c r="A1" s="90" t="s">
        <v>30</v>
      </c>
      <c r="B1" s="90"/>
      <c r="C1" s="90"/>
      <c r="D1" s="90"/>
      <c r="E1" s="90"/>
      <c r="F1" s="90"/>
      <c r="G1" s="90"/>
      <c r="H1" s="90"/>
      <c r="I1" s="27"/>
    </row>
    <row r="2" spans="1:9" ht="11.25" customHeight="1" x14ac:dyDescent="0.2">
      <c r="A2" s="26"/>
      <c r="B2" s="26"/>
      <c r="C2" s="26"/>
      <c r="D2" s="26"/>
      <c r="E2" s="26"/>
      <c r="F2" s="26"/>
      <c r="G2" s="27"/>
      <c r="H2" s="27"/>
      <c r="I2" s="27"/>
    </row>
    <row r="3" spans="1:9" ht="12.75" x14ac:dyDescent="0.2">
      <c r="A3" s="96" t="s">
        <v>30</v>
      </c>
      <c r="B3" s="96"/>
      <c r="C3" s="96"/>
      <c r="D3" s="96"/>
      <c r="E3" s="96"/>
      <c r="F3" s="96"/>
    </row>
    <row r="4" spans="1:9" ht="22.5" x14ac:dyDescent="0.2">
      <c r="A4" s="12" t="s">
        <v>31</v>
      </c>
      <c r="B4" s="12" t="s">
        <v>15</v>
      </c>
      <c r="C4" s="12" t="s">
        <v>16</v>
      </c>
      <c r="D4" s="12" t="s">
        <v>17</v>
      </c>
      <c r="E4" s="12" t="s">
        <v>18</v>
      </c>
      <c r="F4" s="12" t="s">
        <v>19</v>
      </c>
      <c r="G4" s="35" t="s">
        <v>33</v>
      </c>
      <c r="H4" s="35" t="s">
        <v>34</v>
      </c>
    </row>
    <row r="5" spans="1:9" x14ac:dyDescent="0.2">
      <c r="A5" s="12">
        <f>'Interlab Calculations'!A6</f>
        <v>1</v>
      </c>
      <c r="B5" s="6">
        <f>'Interlab Calculations'!K6</f>
        <v>-0.38770724378725513</v>
      </c>
      <c r="C5" s="6">
        <f>'Interlab Calculations'!Q6</f>
        <v>-1.3591777331415877</v>
      </c>
      <c r="D5" s="6">
        <f>'Interlab Calculations'!W6</f>
        <v>-0.73279008540341883</v>
      </c>
      <c r="E5" s="6">
        <f>'Interlab Calculations'!AC6</f>
        <v>-0.41120671721474167</v>
      </c>
      <c r="F5" s="6">
        <f>'Interlab Calculations'!AI6</f>
        <v>-0.47275650676593972</v>
      </c>
      <c r="G5" s="39">
        <v>2.15</v>
      </c>
      <c r="H5" s="39">
        <v>-2.15</v>
      </c>
    </row>
    <row r="6" spans="1:9" x14ac:dyDescent="0.2">
      <c r="A6" s="12">
        <f>'Interlab Calculations'!A10</f>
        <v>2</v>
      </c>
      <c r="B6" s="6">
        <f>'Interlab Calculations'!K10</f>
        <v>-0.12923574792908504</v>
      </c>
      <c r="C6" s="6">
        <f>'Interlab Calculations'!Q10</f>
        <v>-0.44502578789197467</v>
      </c>
      <c r="D6" s="6">
        <f>'Interlab Calculations'!W10</f>
        <v>9.9305528593522596E-2</v>
      </c>
      <c r="E6" s="6">
        <f>'Interlab Calculations'!AC10</f>
        <v>0.15012818453563914</v>
      </c>
      <c r="F6" s="6">
        <f>'Interlab Calculations'!AI10</f>
        <v>1.6223548202515781</v>
      </c>
      <c r="G6" s="39">
        <v>2.15</v>
      </c>
      <c r="H6" s="39">
        <v>-2.15</v>
      </c>
    </row>
    <row r="7" spans="1:9" x14ac:dyDescent="0.2">
      <c r="A7" s="12">
        <f>'Interlab Calculations'!A14</f>
        <v>3</v>
      </c>
      <c r="B7" s="6">
        <f>'Interlab Calculations'!K14</f>
        <v>-0.11273756734239658</v>
      </c>
      <c r="C7" s="6">
        <f>'Interlab Calculations'!Q14</f>
        <v>0.2231361793631953</v>
      </c>
      <c r="D7" s="6">
        <f>'Interlab Calculations'!W14</f>
        <v>-0.20818078427111028</v>
      </c>
      <c r="E7" s="6">
        <f>'Interlab Calculations'!AC14</f>
        <v>-1.0123617149703064</v>
      </c>
      <c r="F7" s="6">
        <f>'Interlab Calculations'!AI14</f>
        <v>-0.68855667288013211</v>
      </c>
      <c r="G7" s="39">
        <v>2.15</v>
      </c>
      <c r="H7" s="39">
        <v>-2.15</v>
      </c>
    </row>
    <row r="8" spans="1:9" x14ac:dyDescent="0.2">
      <c r="A8" s="12">
        <f>'Interlab Calculations'!A18</f>
        <v>4</v>
      </c>
      <c r="B8" s="6">
        <f>'Interlab Calculations'!K18</f>
        <v>-0.10173878028458865</v>
      </c>
      <c r="C8" s="6">
        <f>'Interlab Calculations'!Q18</f>
        <v>1.8486645474615993</v>
      </c>
      <c r="D8" s="36">
        <f>'Interlab Calculations'!W18</f>
        <v>2.1412656552496907</v>
      </c>
      <c r="E8" s="6">
        <f>'Interlab Calculations'!AC18</f>
        <v>0.96194433535086232</v>
      </c>
      <c r="F8" s="6">
        <f>'Interlab Calculations'!AI18</f>
        <v>0.47676422413664976</v>
      </c>
      <c r="G8" s="39">
        <v>2.15</v>
      </c>
      <c r="H8" s="39">
        <v>-2.15</v>
      </c>
    </row>
    <row r="9" spans="1:9" x14ac:dyDescent="0.2">
      <c r="A9" s="12">
        <f>'Interlab Calculations'!A22</f>
        <v>5</v>
      </c>
      <c r="B9" s="6">
        <f>'Interlab Calculations'!K22</f>
        <v>-9.073999322680415E-2</v>
      </c>
      <c r="C9" s="6">
        <f>'Interlab Calculations'!Q22</f>
        <v>-0.98686857725810928</v>
      </c>
      <c r="D9" s="6">
        <f>'Interlab Calculations'!W22</f>
        <v>-0.70643411572932058</v>
      </c>
      <c r="E9" s="6">
        <f>'Interlab Calculations'!AC22</f>
        <v>-0.6424201778899673</v>
      </c>
      <c r="F9" s="6">
        <f>'Interlab Calculations'!AI22</f>
        <v>-0.3580741327737893</v>
      </c>
      <c r="G9" s="39">
        <v>2.15</v>
      </c>
      <c r="H9" s="39">
        <v>-2.15</v>
      </c>
    </row>
    <row r="10" spans="1:9" x14ac:dyDescent="0.2">
      <c r="A10" s="12">
        <f>'Interlab Calculations'!A26</f>
        <v>6</v>
      </c>
      <c r="B10" s="6">
        <f>'Interlab Calculations'!K26</f>
        <v>0.82765872609904523</v>
      </c>
      <c r="C10" s="6">
        <f>'Interlab Calculations'!Q26</f>
        <v>0.21316361268773992</v>
      </c>
      <c r="D10" s="6">
        <f>'Interlab Calculations'!W26</f>
        <v>0.5548872901031674</v>
      </c>
      <c r="E10" s="6">
        <f>'Interlab Calculations'!AC26</f>
        <v>0.97350500838461262</v>
      </c>
      <c r="F10" s="6">
        <f>'Interlab Calculations'!AI26</f>
        <v>0.27329549608609488</v>
      </c>
      <c r="G10" s="39">
        <v>2.15</v>
      </c>
      <c r="H10" s="39">
        <v>-2.15</v>
      </c>
    </row>
    <row r="11" spans="1:9" x14ac:dyDescent="0.2">
      <c r="A11" s="12">
        <f>'Interlab Calculations'!A30</f>
        <v>7</v>
      </c>
      <c r="B11" s="6">
        <f>'Interlab Calculations'!K30</f>
        <v>-1.7515568389537635</v>
      </c>
      <c r="C11" s="6">
        <f>'Interlab Calculations'!Q30</f>
        <v>-0.15914554319573843</v>
      </c>
      <c r="D11" s="6">
        <f>'Interlab Calculations'!W30</f>
        <v>-0.99760482831949693</v>
      </c>
      <c r="E11" s="6">
        <f>'Interlab Calculations'!AC30</f>
        <v>-1.3322070022376944</v>
      </c>
      <c r="F11" s="6">
        <f>'Interlab Calculations'!AI30</f>
        <v>-1.6257459657190421</v>
      </c>
      <c r="G11" s="39">
        <v>2.15</v>
      </c>
      <c r="H11" s="39">
        <v>-2.15</v>
      </c>
    </row>
    <row r="12" spans="1:9" x14ac:dyDescent="0.2">
      <c r="A12" s="12">
        <f>'Interlab Calculations'!A34</f>
        <v>8</v>
      </c>
      <c r="B12" s="6">
        <f>'Interlab Calculations'!K34</f>
        <v>1.7460574454248712</v>
      </c>
      <c r="C12" s="6">
        <f>'Interlab Calculations'!Q34</f>
        <v>0.6652533019748329</v>
      </c>
      <c r="D12" s="6">
        <f>'Interlab Calculations'!W34</f>
        <v>-0.1504486602230555</v>
      </c>
      <c r="E12" s="6">
        <f>'Interlab Calculations'!AC34</f>
        <v>1.3126180840415955</v>
      </c>
      <c r="F12" s="6">
        <f>'Interlab Calculations'!AI34</f>
        <v>0.77271873766472765</v>
      </c>
      <c r="G12" s="39">
        <v>2.15</v>
      </c>
      <c r="H12" s="39">
        <v>-2.15</v>
      </c>
    </row>
  </sheetData>
  <mergeCells count="2">
    <mergeCell ref="A3:F3"/>
    <mergeCell ref="A1:H1"/>
  </mergeCells>
  <pageMargins left="0.25" right="0.25" top="0.75" bottom="0.75" header="0.3" footer="0.3"/>
  <pageSetup paperSize="9" scale="91" orientation="portrait" horizontalDpi="120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A4D3-2FCC-4B2F-9FE0-77D54042AB47}">
  <sheetPr>
    <tabColor rgb="FF7030A0"/>
    <pageSetUpPr fitToPage="1"/>
  </sheetPr>
  <dimension ref="A1:J11"/>
  <sheetViews>
    <sheetView showGridLines="0" zoomScale="115" zoomScaleNormal="115" workbookViewId="0">
      <selection activeCell="J15" sqref="J15"/>
    </sheetView>
  </sheetViews>
  <sheetFormatPr defaultColWidth="9.140625" defaultRowHeight="15" x14ac:dyDescent="0.25"/>
  <cols>
    <col min="1" max="1" width="9.140625" style="19"/>
    <col min="2" max="2" width="6.7109375" style="19" bestFit="1" customWidth="1"/>
    <col min="3" max="5" width="11.7109375" style="19" customWidth="1"/>
    <col min="6" max="6" width="11.7109375" customWidth="1"/>
    <col min="7" max="8" width="11.7109375" style="19" customWidth="1"/>
    <col min="9" max="16384" width="9.140625" style="19"/>
  </cols>
  <sheetData>
    <row r="1" spans="1:10" ht="26.25" x14ac:dyDescent="0.25">
      <c r="A1" s="90" t="s">
        <v>35</v>
      </c>
      <c r="B1" s="90"/>
      <c r="C1" s="90"/>
      <c r="D1" s="90"/>
      <c r="E1" s="90"/>
      <c r="F1" s="90"/>
      <c r="G1" s="90"/>
      <c r="H1" s="90"/>
      <c r="I1" s="90"/>
      <c r="J1" s="27"/>
    </row>
    <row r="2" spans="1:10" ht="15.75" thickBot="1" x14ac:dyDescent="0.3"/>
    <row r="3" spans="1:10" s="11" customFormat="1" ht="56.25" x14ac:dyDescent="0.25">
      <c r="B3" s="12" t="s">
        <v>1</v>
      </c>
      <c r="C3" s="12" t="s">
        <v>24</v>
      </c>
      <c r="D3" s="12" t="s">
        <v>25</v>
      </c>
      <c r="E3" s="12" t="s">
        <v>26</v>
      </c>
      <c r="F3" s="37" t="s">
        <v>27</v>
      </c>
      <c r="G3" s="40" t="s">
        <v>28</v>
      </c>
      <c r="H3" s="41" t="s">
        <v>29</v>
      </c>
    </row>
    <row r="4" spans="1:10" s="11" customFormat="1" ht="11.25" x14ac:dyDescent="0.25">
      <c r="B4" s="12" t="s">
        <v>2</v>
      </c>
      <c r="C4" s="6">
        <f>'Interlab Calculations'!H38</f>
        <v>41.518333333333331</v>
      </c>
      <c r="D4" s="6">
        <f>'Interlab Calculations'!H39</f>
        <v>0.60612744220211145</v>
      </c>
      <c r="E4" s="33">
        <f>'Interlab Calculations'!H40</f>
        <v>1.0632242629536506</v>
      </c>
      <c r="F4" s="38">
        <f>'Interlab Calculations'!H41</f>
        <v>1.0632242629536506</v>
      </c>
      <c r="G4" s="42">
        <f>2.8*E4</f>
        <v>2.9770279362702214</v>
      </c>
      <c r="H4" s="43">
        <f>2.8*F4</f>
        <v>2.9770279362702214</v>
      </c>
    </row>
    <row r="5" spans="1:10" s="11" customFormat="1" ht="11.25" x14ac:dyDescent="0.25">
      <c r="B5" s="12" t="s">
        <v>3</v>
      </c>
      <c r="C5" s="6">
        <f>'Interlab Calculations'!N38</f>
        <v>79.679583333333341</v>
      </c>
      <c r="D5" s="6">
        <f>'Interlab Calculations'!N39</f>
        <v>1.0027508790306974</v>
      </c>
      <c r="E5" s="33">
        <f>'Interlab Calculations'!N40</f>
        <v>1.4948536717685794</v>
      </c>
      <c r="F5" s="38">
        <f>'Interlab Calculations'!N41</f>
        <v>1.5796310725599314</v>
      </c>
      <c r="G5" s="42">
        <f t="shared" ref="G5:G8" si="0">2.8*E5</f>
        <v>4.185590280952022</v>
      </c>
      <c r="H5" s="43">
        <f t="shared" ref="H5:H8" si="1">2.8*F5</f>
        <v>4.4229670031678072</v>
      </c>
    </row>
    <row r="6" spans="1:10" s="11" customFormat="1" ht="11.25" x14ac:dyDescent="0.25">
      <c r="B6" s="12" t="s">
        <v>4</v>
      </c>
      <c r="C6" s="6">
        <f>'Interlab Calculations'!T38</f>
        <v>135.14291666666668</v>
      </c>
      <c r="D6" s="6">
        <f>'Interlab Calculations'!T39</f>
        <v>2.6559447770483056</v>
      </c>
      <c r="E6" s="33">
        <f>'Interlab Calculations'!T40</f>
        <v>2.748272184482464</v>
      </c>
      <c r="F6" s="38">
        <f>'Interlab Calculations'!T41</f>
        <v>3.4769779970634724</v>
      </c>
      <c r="G6" s="42">
        <f t="shared" si="0"/>
        <v>7.6951621165508985</v>
      </c>
      <c r="H6" s="43">
        <f t="shared" si="1"/>
        <v>9.7355383917777214</v>
      </c>
    </row>
    <row r="7" spans="1:10" s="11" customFormat="1" ht="11.25" x14ac:dyDescent="0.25">
      <c r="B7" s="12" t="s">
        <v>5</v>
      </c>
      <c r="C7" s="6">
        <f>'Interlab Calculations'!Z38</f>
        <v>194.71708333333333</v>
      </c>
      <c r="D7" s="6">
        <f>'Interlab Calculations'!Z39</f>
        <v>2.5950046258025341</v>
      </c>
      <c r="E7" s="33">
        <f>'Interlab Calculations'!Z40</f>
        <v>2.6250650785583693</v>
      </c>
      <c r="F7" s="38">
        <f>'Interlab Calculations'!Z41</f>
        <v>3.3657134140794462</v>
      </c>
      <c r="G7" s="42">
        <f t="shared" si="0"/>
        <v>7.3501822199634335</v>
      </c>
      <c r="H7" s="43">
        <f t="shared" si="1"/>
        <v>9.4239975594224497</v>
      </c>
    </row>
    <row r="8" spans="1:10" s="11" customFormat="1" ht="12" thickBot="1" x14ac:dyDescent="0.3">
      <c r="B8" s="12" t="s">
        <v>6</v>
      </c>
      <c r="C8" s="6">
        <f>'Interlab Calculations'!AF38</f>
        <v>294.53124999999994</v>
      </c>
      <c r="D8" s="6">
        <f>'Interlab Calculations'!AF39</f>
        <v>2.7031180922473528</v>
      </c>
      <c r="E8" s="33">
        <f>'Interlab Calculations'!AF40</f>
        <v>3.9670428743166677</v>
      </c>
      <c r="F8" s="38">
        <f>'Interlab Calculations'!AF41</f>
        <v>4.2188229241198778</v>
      </c>
      <c r="G8" s="44">
        <f t="shared" si="0"/>
        <v>11.107720048086669</v>
      </c>
      <c r="H8" s="45">
        <f t="shared" si="1"/>
        <v>11.812704187535656</v>
      </c>
    </row>
    <row r="9" spans="1:10" s="11" customFormat="1" ht="11.25" x14ac:dyDescent="0.25"/>
    <row r="10" spans="1:10" x14ac:dyDescent="0.25">
      <c r="F10" s="19"/>
    </row>
    <row r="11" spans="1:10" x14ac:dyDescent="0.25">
      <c r="F11" s="19"/>
    </row>
  </sheetData>
  <mergeCells count="1">
    <mergeCell ref="A1:I1"/>
  </mergeCells>
  <pageMargins left="0.25" right="0.25" top="0.75" bottom="0.75" header="0.3" footer="0.3"/>
  <pageSetup paperSize="9" orientation="portrait" horizontalDpi="120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CB3ED65997D54D8AFB377EE6DEB6D9" ma:contentTypeVersion="15" ma:contentTypeDescription="Create a new document." ma:contentTypeScope="" ma:versionID="8886de6a2e40f7caef5aecd8b42c20b0">
  <xsd:schema xmlns:xsd="http://www.w3.org/2001/XMLSchema" xmlns:xs="http://www.w3.org/2001/XMLSchema" xmlns:p="http://schemas.microsoft.com/office/2006/metadata/properties" xmlns:ns2="dc9103c7-443e-48cb-987c-96d1ae469c4c" xmlns:ns3="64c6e1c2-e844-4874-bd65-a66d57f92d8a" targetNamespace="http://schemas.microsoft.com/office/2006/metadata/properties" ma:root="true" ma:fieldsID="858bafa0637f5139ac16677f144b0fa9" ns2:_="" ns3:_="">
    <xsd:import namespace="dc9103c7-443e-48cb-987c-96d1ae469c4c"/>
    <xsd:import namespace="64c6e1c2-e844-4874-bd65-a66d57f92d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9103c7-443e-48cb-987c-96d1ae469c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8438315-f659-42f8-8e0c-a0d69b0404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6e1c2-e844-4874-bd65-a66d57f92d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ad4a100-207f-443b-90f5-c035198a5bfd}" ma:internalName="TaxCatchAll" ma:showField="CatchAllData" ma:web="64c6e1c2-e844-4874-bd65-a66d57f92d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9103c7-443e-48cb-987c-96d1ae469c4c">
      <Terms xmlns="http://schemas.microsoft.com/office/infopath/2007/PartnerControls"/>
    </lcf76f155ced4ddcb4097134ff3c332f>
    <TaxCatchAll xmlns="64c6e1c2-e844-4874-bd65-a66d57f92d8a" xsi:nil="true"/>
  </documentManagement>
</p:properties>
</file>

<file path=customXml/itemProps1.xml><?xml version="1.0" encoding="utf-8"?>
<ds:datastoreItem xmlns:ds="http://schemas.openxmlformats.org/officeDocument/2006/customXml" ds:itemID="{3E16F10C-551A-4ED7-B590-AE6745E891C7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c9103c7-443e-48cb-987c-96d1ae469c4c"/>
    <ds:schemaRef ds:uri="64c6e1c2-e844-4874-bd65-a66d57f92d8a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26307C-7BC2-45D1-8936-05875AC2E2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22960F-C9FE-47B8-AA01-393F9679F57E}">
  <ds:schemaRefs>
    <ds:schemaRef ds:uri="http://schemas.microsoft.com/office/2006/metadata/properties"/>
    <ds:schemaRef ds:uri="http://www.w3.org/2000/xmlns/"/>
    <ds:schemaRef ds:uri="dc9103c7-443e-48cb-987c-96d1ae469c4c"/>
    <ds:schemaRef ds:uri="http://schemas.microsoft.com/office/infopath/2007/PartnerControls"/>
    <ds:schemaRef ds:uri="64c6e1c2-e844-4874-bd65-a66d57f92d8a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Interlab Calculations</vt:lpstr>
      <vt:lpstr>Intra Lab</vt:lpstr>
      <vt:lpstr>Inter Lab </vt:lpstr>
      <vt:lpstr>Declaração de Precisão</vt:lpstr>
      <vt:lpstr>'Declaração de Precisão'!Area_de_impressao</vt:lpstr>
      <vt:lpstr>'Interlab Calculations'!Area_de_impressao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Fernandes, Fernando Ferrari</dc:creator>
  <cp:lastModifiedBy>Fernando Fernandes</cp:lastModifiedBy>
  <cp:lastPrinted>2023-07-25T12:22:26Z</cp:lastPrinted>
  <dcterms:created xsi:type="dcterms:W3CDTF">2023-07-21T19:01:45Z</dcterms:created>
  <dcterms:modified xsi:type="dcterms:W3CDTF">2024-08-19T00:14:27Z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0x01010007CB3ED65997D54D8AFB377EE6DEB6D9</vt:lpwstr>
  </property>
</Properties>
</file>