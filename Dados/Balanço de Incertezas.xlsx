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esktop\Interlab\"/>
    </mc:Choice>
  </mc:AlternateContent>
  <xr:revisionPtr revIDLastSave="0" documentId="13_ncr:1_{A15EF0D3-242C-4FFB-ADD3-304709FC1760}" xr6:coauthVersionLast="47" xr6:coauthVersionMax="47" xr10:uidLastSave="{00000000-0000-0000-0000-000000000000}"/>
  <bookViews>
    <workbookView xWindow="20370" yWindow="-120" windowWidth="29040" windowHeight="15720" xr2:uid="{42756A4B-8BDC-4237-A59B-49716CC95375}"/>
  </bookViews>
  <sheets>
    <sheet name="Balanço de Incerteza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4" i="1" s="1"/>
  <c r="J14" i="1" s="1"/>
  <c r="L6" i="1"/>
  <c r="L7" i="1"/>
  <c r="L8" i="1"/>
  <c r="L9" i="1"/>
  <c r="L5" i="1"/>
  <c r="J13" i="1"/>
  <c r="G9" i="1"/>
  <c r="J9" i="1"/>
  <c r="G8" i="1"/>
  <c r="J8" i="1" s="1"/>
  <c r="C8" i="1"/>
  <c r="G7" i="1"/>
  <c r="J7" i="1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C35" i="1"/>
  <c r="C33" i="1"/>
  <c r="C32" i="1"/>
  <c r="J6" i="1"/>
  <c r="J10" i="1"/>
  <c r="J11" i="1"/>
  <c r="J12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tc={9B764E88-DD2F-4ABC-B3EC-22DF25564273}</author>
    <author>tc={3E718429-1487-4B17-8A13-B576D6EA42D8}</author>
    <author>tc={F637372A-22BF-465C-B16A-084C18BCD470}</author>
    <author>tc={467CB12F-A042-4AD4-8099-6644C76742C9}</author>
    <author>Fernando Fernandes</author>
  </authors>
  <commentList>
    <comment ref="G3" authorId="0" shapeId="0" xr:uid="{9B764E88-DD2F-4ABC-B3EC-22DF2556427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papel do divisor é mudar a PA da componente de incerteza, seja qual for a PA, para 68%
Se a componente de incerteza já estiver na PA de 68% o valor do divisor é igual a 1. É o caso da componente de incerteza do tipo A, porque já esta em 68%
Quando a componente de incerteza é uma incerteza de medição expandida relatada no certificado de calibração o valor do divisor é o valor k.
Todas as componentes de incerteza cuja distribuição de probabilidade foi assumida como retangular, terá divisor igual a raiz de 3.</t>
      </text>
    </comment>
    <comment ref="K3" authorId="1" shapeId="0" xr:uid="{3E718429-1487-4B17-8A13-B576D6EA4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Os graus de liberdade serão usados para selecionarmos o valor do k da tabela correspondente a 95% de PA
Quando a componente de incerteza é a do tipo A, então a DP é normal e graus de liberdade é igual a n-1
Quando a incerteza é uma incerteza expandida, extraída de certificados de calibração, DP é normal e graus de liberdade depende do k relatado no certificado de calibração. Com o valor de k é possível determinar o número de graus de liberdade para uma distribuição t com t = k para 95,45%
Quando a componente de incerteza tem DP retangular, os graus de liberdade são infinitos.</t>
      </text>
    </comment>
    <comment ref="E4" authorId="2" shapeId="0" xr:uid="{F637372A-22BF-465C-B16A-084C18BCD4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a componente de incerteza do tipo A, a DP será Normal (N) obrigatoriamente. É uma de suas características.
Para uma componente de incerteza que seja incerteza expandida informada no certificado de calibração, assumir DP Nornal (N)
Para componente de incerteza devido a resolução do Equipamento de medição, DP deve ser a Retangular.
Para componentes de incerteza que não sabemos o tipo de distribuição de probabilidade, usar a Retangular (R)
</t>
      </text>
    </comment>
    <comment ref="F4" authorId="3" shapeId="0" xr:uid="{467CB12F-A042-4AD4-8099-6644C76742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Sempre que a componente de incerteza for a incerteza do tipo A, a PA = 68%, pois a equação para a determinação dessa incerteza está preparada para fornecer um resultado a 68%
Se for uma incerteza de medição expandida extraída de um certificado de calibração, a PA informada no próprio certificado de calibração. Geralmente será 95%
Se a DP adotada para a componente de incerteza for a retangular, a PA = 100%</t>
      </text>
    </comment>
    <comment ref="B6" authorId="4" shapeId="0" xr:uid="{26BAE7BA-CE1F-4D55-BD75-74DF520C786D}">
      <text>
        <r>
          <rPr>
            <sz val="9"/>
            <color indexed="81"/>
            <rFont val="Segoe UI"/>
            <family val="2"/>
          </rPr>
          <t>Obtido do certificado de calibração</t>
        </r>
      </text>
    </comment>
    <comment ref="B7" authorId="4" shapeId="0" xr:uid="{57440939-5A1B-45B4-8661-B942D5B341B2}">
      <text>
        <r>
          <rPr>
            <sz val="9"/>
            <color indexed="81"/>
            <rFont val="Segoe UI"/>
            <family val="2"/>
          </rPr>
          <t>Pode ser estimado a partir de certificados de calibração anteriores</t>
        </r>
      </text>
    </comment>
    <comment ref="B8" authorId="4" shapeId="0" xr:uid="{ABD39794-9AE4-4817-A28F-015367E10AA0}">
      <text>
        <r>
          <rPr>
            <sz val="9"/>
            <color indexed="81"/>
            <rFont val="Segoe UI"/>
            <family val="2"/>
          </rPr>
          <t>Do manual do fabricante</t>
        </r>
      </text>
    </comment>
    <comment ref="B9" authorId="4" shapeId="0" xr:uid="{1F0EEDCA-B085-48E0-91EB-3B0A8435685C}">
      <text>
        <r>
          <rPr>
            <sz val="9"/>
            <color indexed="81"/>
            <rFont val="Segoe UI"/>
            <family val="2"/>
          </rPr>
          <t>Do manual do fabricante</t>
        </r>
      </text>
    </comment>
  </commentList>
</comments>
</file>

<file path=xl/sharedStrings.xml><?xml version="1.0" encoding="utf-8"?>
<sst xmlns="http://schemas.openxmlformats.org/spreadsheetml/2006/main" count="63" uniqueCount="42">
  <si>
    <t>Componentes de Incerteza</t>
  </si>
  <si>
    <t>Nome</t>
  </si>
  <si>
    <t>Valor
(+/-)</t>
  </si>
  <si>
    <t>Unidade</t>
  </si>
  <si>
    <t>DP</t>
  </si>
  <si>
    <t>PA
(%)</t>
  </si>
  <si>
    <t>Divisor</t>
  </si>
  <si>
    <t>Coeficiente de Sensibilidade
(C)</t>
  </si>
  <si>
    <t>Valor</t>
  </si>
  <si>
    <t>Graus de Liberdade</t>
  </si>
  <si>
    <t>Percentual de Contribuição
(%)</t>
  </si>
  <si>
    <t>°C</t>
  </si>
  <si>
    <t>N</t>
  </si>
  <si>
    <t>---</t>
  </si>
  <si>
    <t>Incerteza Expandida (U) (PA=95%)</t>
  </si>
  <si>
    <t xml:space="preserve">k = </t>
  </si>
  <si>
    <r>
      <t>Graus de Liberdade
(</t>
    </r>
    <r>
      <rPr>
        <b/>
        <sz val="11"/>
        <rFont val="Symbol"/>
        <family val="1"/>
        <charset val="2"/>
      </rPr>
      <t>u</t>
    </r>
    <r>
      <rPr>
        <b/>
        <sz val="11"/>
        <rFont val="Aptos Narrow"/>
        <family val="2"/>
      </rPr>
      <t>)</t>
    </r>
  </si>
  <si>
    <r>
      <t>Incerteza Combinada (u</t>
    </r>
    <r>
      <rPr>
        <b/>
        <vertAlign val="subscript"/>
        <sz val="11"/>
        <color theme="1"/>
        <rFont val="Aptos Narrow"/>
        <family val="2"/>
        <scheme val="minor"/>
      </rPr>
      <t>c</t>
    </r>
    <r>
      <rPr>
        <b/>
        <sz val="11"/>
        <color theme="1"/>
        <rFont val="Aptos Narrow"/>
        <family val="2"/>
        <scheme val="minor"/>
      </rPr>
      <t>) (PA=68%)</t>
    </r>
  </si>
  <si>
    <r>
      <rPr>
        <b/>
        <sz val="11"/>
        <color theme="1"/>
        <rFont val="Symbol"/>
        <family val="1"/>
        <charset val="2"/>
      </rPr>
      <t>u</t>
    </r>
    <r>
      <rPr>
        <b/>
        <vertAlign val="subscript"/>
        <sz val="11"/>
        <color theme="1"/>
        <rFont val="Aptos Narrow"/>
        <family val="2"/>
      </rPr>
      <t>eff</t>
    </r>
    <r>
      <rPr>
        <b/>
        <sz val="11"/>
        <color theme="1"/>
        <rFont val="Aptos Narrow"/>
        <family val="2"/>
      </rPr>
      <t xml:space="preserve"> =</t>
    </r>
  </si>
  <si>
    <t>PA = Probabilidade de Abrangência</t>
  </si>
  <si>
    <t>N = Normal</t>
  </si>
  <si>
    <t>R = Retangular</t>
  </si>
  <si>
    <t>T = Triangular</t>
  </si>
  <si>
    <t>DP = Distribuição de Probabilidade:</t>
  </si>
  <si>
    <t>PA = 68%
Incerteza Padrão u
[°C]</t>
  </si>
  <si>
    <t>Incerteza do tipo A</t>
  </si>
  <si>
    <t>Incerteza de calibração do termômetro</t>
  </si>
  <si>
    <t>Medição 1</t>
  </si>
  <si>
    <t>Medição 2</t>
  </si>
  <si>
    <t>Medição 3</t>
  </si>
  <si>
    <t>Medição 4</t>
  </si>
  <si>
    <t>Medição 5</t>
  </si>
  <si>
    <t>Média</t>
  </si>
  <si>
    <t>Desvio Padrão</t>
  </si>
  <si>
    <t>Repetições</t>
  </si>
  <si>
    <t>BALANÇO DE INCERTEZA: MEDIÇÃO TEMPERATURA DO AR</t>
  </si>
  <si>
    <t>Valores t</t>
  </si>
  <si>
    <t>v ou veff</t>
  </si>
  <si>
    <t>Deriva do Termômetro com o Tempo</t>
  </si>
  <si>
    <t>R</t>
  </si>
  <si>
    <t>Resolução do Termômetro (R/2)</t>
  </si>
  <si>
    <t>Desvio de Linearidade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</si>
</sst>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0"/>
    <numFmt numFmtId="166" formatCode="0.0000"/>
    <numFmt numFmtId="167" formatCode="0.0"/>
    <numFmt numFmtId="168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Aptos Narrow"/>
      <family val="2"/>
    </font>
    <font>
      <sz val="9"/>
      <color indexed="81"/>
      <name val="Segoe UI"/>
      <family val="2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Symbol"/>
      <family val="1"/>
      <charset val="2"/>
    </font>
    <font>
      <b/>
      <sz val="1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1"/>
      <charset val="2"/>
    </font>
    <font>
      <b/>
      <vertAlign val="subscript"/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 indent="2"/>
    </xf>
    <xf numFmtId="2" fontId="0" fillId="0" borderId="2" xfId="0" applyNumberFormat="1" applyBorder="1"/>
    <xf numFmtId="0" fontId="0" fillId="0" borderId="2" xfId="0" applyBorder="1"/>
    <xf numFmtId="0" fontId="0" fillId="0" borderId="1" xfId="0" applyBorder="1" applyAlignment="1">
      <alignment horizontal="right" vertical="center"/>
    </xf>
    <xf numFmtId="2" fontId="2" fillId="0" borderId="2" xfId="0" applyNumberFormat="1" applyFont="1" applyBorder="1"/>
    <xf numFmtId="0" fontId="2" fillId="0" borderId="2" xfId="0" applyFont="1" applyBorder="1"/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o Fernandes" id="{7AE76E1E-C969-476B-8DCC-1B18F8C8EFA4}" userId="d27523d9876bcc07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4-09-13T23:17:17.97" personId="{7AE76E1E-C969-476B-8DCC-1B18F8C8EFA4}" id="{9B764E88-DD2F-4ABC-B3EC-22DF25564273}">
    <text>O papel do divisor é mudar a PA da componente de incerteza, seja qual for a PA, para 68%
Se a componente de incerteza já estiver na PA de 68% o valor do divisor é igual a 1. É o caso da componente de incerteza do tipo A, porque já esta em 68%
Quando a componente de incerteza é uma incerteza de medição expandida relatada no certificado de calibração o valor do divisor é o valor k.
Todas as componentes de incerteza cuja distribuição de probabilidade foi assumida como retangular, terá divisor igual a raiz de 3.</text>
  </threadedComment>
  <threadedComment ref="K3" dT="2024-09-13T23:21:44.74" personId="{7AE76E1E-C969-476B-8DCC-1B18F8C8EFA4}" id="{3E718429-1487-4B17-8A13-B576D6EA42D8}">
    <text>Os graus de liberdade serão usados para selecionarmos o valor do k da tabela correspondente a 95% de PA
Quando a componente de incerteza é a do tipo A, então a DP é normal e graus de liberdade é igual a n-1
Quando a incerteza é uma incerteza expandida, extraída de certificados de calibração, DP é normal e graus de liberdade depende do k relatado no certificado de calibração. Com o valor de k é possível determinar o número de graus de liberdade para uma distribuição t com t = k para 95,45%
Quando a componente de incerteza tem DP retangular, os graus de liberdade são infinitos.</text>
  </threadedComment>
  <threadedComment ref="E4" dT="2024-09-13T21:58:33.28" personId="{7AE76E1E-C969-476B-8DCC-1B18F8C8EFA4}" id="{F637372A-22BF-465C-B16A-084C18BCD470}">
    <text xml:space="preserve">Para a componente de incerteza do tipo A, a DP será Normal (N) obrigatoriamente. É uma de suas características.
Para uma componente de incerteza que seja incerteza expandida informada no certificado de calibração, assumir DP Nornal (N)
Para componente de incerteza devido a resolução do Equipamento de medição, DP deve ser a Retangular.
Para componentes de incerteza que não sabemos o tipo de distribuição de probabilidade, usar a Retangular (R)
</text>
  </threadedComment>
  <threadedComment ref="F4" dT="2024-09-13T22:42:37.02" personId="{7AE76E1E-C969-476B-8DCC-1B18F8C8EFA4}" id="{467CB12F-A042-4AD4-8099-6644C76742C9}">
    <text>Sempre que a componente de incerteza for a incerteza do tipo A, a PA = 68%, pois a equação para a determinação dessa incerteza está preparada para fornecer um resultado a 68%
Se for uma incerteza de medição expandida extraída de um certificado de calibração, a PA informada no próprio certificado de calibração. Geralmente será 95%
Se a DP adotada para a componente de incerteza for a retangular, a PA = 100%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64AA-6A55-48B9-9856-89558DA09980}">
  <dimension ref="B2:L41"/>
  <sheetViews>
    <sheetView showGridLines="0" tabSelected="1" zoomScale="145" zoomScaleNormal="145" workbookViewId="0">
      <selection activeCell="J14" sqref="J14"/>
    </sheetView>
  </sheetViews>
  <sheetFormatPr defaultRowHeight="15" x14ac:dyDescent="0.25"/>
  <cols>
    <col min="2" max="2" width="37.42578125" bestFit="1" customWidth="1"/>
    <col min="3" max="3" width="11" customWidth="1"/>
    <col min="7" max="7" width="12.28515625" customWidth="1"/>
    <col min="10" max="10" width="20.140625" customWidth="1"/>
    <col min="11" max="11" width="13.42578125" customWidth="1"/>
    <col min="12" max="12" width="20.28515625" customWidth="1"/>
  </cols>
  <sheetData>
    <row r="2" spans="2:12" ht="18.75" x14ac:dyDescent="0.25">
      <c r="B2" s="28" t="s">
        <v>35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2:12" ht="48.75" customHeight="1" x14ac:dyDescent="0.25">
      <c r="B3" s="29" t="s">
        <v>0</v>
      </c>
      <c r="C3" s="29"/>
      <c r="D3" s="29"/>
      <c r="E3" s="29"/>
      <c r="F3" s="29"/>
      <c r="G3" s="27" t="s">
        <v>6</v>
      </c>
      <c r="H3" s="27" t="s">
        <v>7</v>
      </c>
      <c r="I3" s="27"/>
      <c r="J3" s="27" t="s">
        <v>24</v>
      </c>
      <c r="K3" s="27" t="s">
        <v>16</v>
      </c>
      <c r="L3" s="27" t="s">
        <v>10</v>
      </c>
    </row>
    <row r="4" spans="2:12" ht="33.75" customHeight="1" x14ac:dyDescent="0.25">
      <c r="B4" s="6" t="s">
        <v>1</v>
      </c>
      <c r="C4" s="7" t="s">
        <v>2</v>
      </c>
      <c r="D4" s="6" t="s">
        <v>3</v>
      </c>
      <c r="E4" s="6" t="s">
        <v>4</v>
      </c>
      <c r="F4" s="7" t="s">
        <v>5</v>
      </c>
      <c r="G4" s="29"/>
      <c r="H4" s="6" t="s">
        <v>8</v>
      </c>
      <c r="I4" s="6" t="s">
        <v>3</v>
      </c>
      <c r="J4" s="27"/>
      <c r="K4" s="27"/>
      <c r="L4" s="27"/>
    </row>
    <row r="5" spans="2:12" x14ac:dyDescent="0.25">
      <c r="B5" s="4" t="s">
        <v>25</v>
      </c>
      <c r="C5" s="24">
        <v>0.130384</v>
      </c>
      <c r="D5" s="2" t="s">
        <v>11</v>
      </c>
      <c r="E5" s="2" t="s">
        <v>12</v>
      </c>
      <c r="F5" s="2">
        <v>68</v>
      </c>
      <c r="G5" s="2">
        <v>1</v>
      </c>
      <c r="H5" s="2">
        <v>1</v>
      </c>
      <c r="I5" s="5" t="s">
        <v>13</v>
      </c>
      <c r="J5" s="23">
        <f>IFERROR((C5*H5)/G5,"")</f>
        <v>0.130384</v>
      </c>
      <c r="K5" s="2">
        <v>4</v>
      </c>
      <c r="L5" s="26">
        <f>J5^2/$J$13^2</f>
        <v>0.28758316271477674</v>
      </c>
    </row>
    <row r="6" spans="2:12" x14ac:dyDescent="0.25">
      <c r="B6" s="4" t="s">
        <v>26</v>
      </c>
      <c r="C6" s="25">
        <v>0.4</v>
      </c>
      <c r="D6" s="2" t="s">
        <v>11</v>
      </c>
      <c r="E6" s="2" t="s">
        <v>12</v>
      </c>
      <c r="F6" s="2">
        <v>95</v>
      </c>
      <c r="G6" s="2">
        <v>2.15</v>
      </c>
      <c r="H6" s="2">
        <v>1</v>
      </c>
      <c r="I6" s="5" t="s">
        <v>13</v>
      </c>
      <c r="J6" s="23">
        <f t="shared" ref="J6:J12" si="0">IFERROR((C6*H6)/G6,"")</f>
        <v>0.186046511627907</v>
      </c>
      <c r="K6" s="2">
        <v>18</v>
      </c>
      <c r="L6" s="26">
        <f t="shared" ref="L6:L9" si="1">J6^2/$J$13^2</f>
        <v>0.5855418189392787</v>
      </c>
    </row>
    <row r="7" spans="2:12" x14ac:dyDescent="0.25">
      <c r="B7" s="4" t="s">
        <v>38</v>
      </c>
      <c r="C7" s="25">
        <v>0.1</v>
      </c>
      <c r="D7" s="2" t="s">
        <v>11</v>
      </c>
      <c r="E7" s="2" t="s">
        <v>39</v>
      </c>
      <c r="F7" s="2">
        <v>100</v>
      </c>
      <c r="G7" s="24">
        <f>SQRT(3)</f>
        <v>1.7320508075688772</v>
      </c>
      <c r="H7" s="2">
        <v>1</v>
      </c>
      <c r="I7" s="5" t="s">
        <v>13</v>
      </c>
      <c r="J7" s="23">
        <f t="shared" si="0"/>
        <v>5.7735026918962581E-2</v>
      </c>
      <c r="K7" s="2">
        <v>1000000</v>
      </c>
      <c r="L7" s="26">
        <f t="shared" si="1"/>
        <v>5.6388897042641994E-2</v>
      </c>
    </row>
    <row r="8" spans="2:12" x14ac:dyDescent="0.25">
      <c r="B8" s="4" t="s">
        <v>40</v>
      </c>
      <c r="C8" s="2">
        <f>0.1/2</f>
        <v>0.05</v>
      </c>
      <c r="D8" s="2" t="s">
        <v>11</v>
      </c>
      <c r="E8" s="2" t="s">
        <v>39</v>
      </c>
      <c r="F8" s="2">
        <v>100</v>
      </c>
      <c r="G8" s="24">
        <f>SQRT(3)</f>
        <v>1.7320508075688772</v>
      </c>
      <c r="H8" s="2">
        <v>1</v>
      </c>
      <c r="I8" s="5" t="s">
        <v>13</v>
      </c>
      <c r="J8" s="23">
        <f t="shared" si="0"/>
        <v>2.8867513459481291E-2</v>
      </c>
      <c r="K8" s="2">
        <v>1000000</v>
      </c>
      <c r="L8" s="26">
        <f t="shared" si="1"/>
        <v>1.4097224260660499E-2</v>
      </c>
    </row>
    <row r="9" spans="2:12" x14ac:dyDescent="0.25">
      <c r="B9" s="4" t="s">
        <v>41</v>
      </c>
      <c r="C9" s="2">
        <v>0.1</v>
      </c>
      <c r="D9" s="2" t="s">
        <v>11</v>
      </c>
      <c r="E9" s="2" t="s">
        <v>39</v>
      </c>
      <c r="F9" s="2">
        <v>100</v>
      </c>
      <c r="G9" s="24">
        <f>SQRT(3)</f>
        <v>1.7320508075688772</v>
      </c>
      <c r="H9" s="2">
        <v>1</v>
      </c>
      <c r="I9" s="5" t="s">
        <v>13</v>
      </c>
      <c r="J9" s="23">
        <f t="shared" si="0"/>
        <v>5.7735026918962581E-2</v>
      </c>
      <c r="K9" s="2">
        <v>1000000</v>
      </c>
      <c r="L9" s="26">
        <f t="shared" si="1"/>
        <v>5.6388897042641994E-2</v>
      </c>
    </row>
    <row r="10" spans="2:12" x14ac:dyDescent="0.25">
      <c r="B10" s="4"/>
      <c r="C10" s="2"/>
      <c r="D10" s="2"/>
      <c r="E10" s="2"/>
      <c r="F10" s="2"/>
      <c r="G10" s="2"/>
      <c r="H10" s="2"/>
      <c r="I10" s="2"/>
      <c r="J10" s="2" t="str">
        <f t="shared" si="0"/>
        <v/>
      </c>
      <c r="K10" s="2"/>
      <c r="L10" s="2"/>
    </row>
    <row r="11" spans="2:12" x14ac:dyDescent="0.25">
      <c r="B11" s="4"/>
      <c r="C11" s="2"/>
      <c r="D11" s="2"/>
      <c r="E11" s="2"/>
      <c r="F11" s="2"/>
      <c r="G11" s="2"/>
      <c r="H11" s="2"/>
      <c r="I11" s="2"/>
      <c r="J11" s="2" t="str">
        <f t="shared" si="0"/>
        <v/>
      </c>
      <c r="K11" s="2"/>
      <c r="L11" s="2"/>
    </row>
    <row r="12" spans="2:12" x14ac:dyDescent="0.25">
      <c r="B12" s="4"/>
      <c r="C12" s="2"/>
      <c r="D12" s="2"/>
      <c r="E12" s="2"/>
      <c r="F12" s="2"/>
      <c r="G12" s="2"/>
      <c r="H12" s="2"/>
      <c r="I12" s="2"/>
      <c r="J12" s="2" t="str">
        <f t="shared" si="0"/>
        <v/>
      </c>
      <c r="K12" s="2"/>
      <c r="L12" s="2"/>
    </row>
    <row r="13" spans="2:12" ht="18" x14ac:dyDescent="0.35">
      <c r="B13" s="30" t="s">
        <v>17</v>
      </c>
      <c r="C13" s="30"/>
      <c r="D13" s="30"/>
      <c r="E13" s="30"/>
      <c r="F13" s="30"/>
      <c r="G13" s="30"/>
      <c r="H13" s="30"/>
      <c r="I13" s="30"/>
      <c r="J13" s="23">
        <f>SQRT(SUMSQ(J5:J9))</f>
        <v>0.24313225196364413</v>
      </c>
      <c r="K13" s="9" t="s">
        <v>18</v>
      </c>
      <c r="L13" s="32">
        <f>(J13^4)/SUM(J5^4/K5,J6^4/K6,J7^4/K7,J8^4/K8,J9^4/K9)</f>
        <v>25.173850632748003</v>
      </c>
    </row>
    <row r="14" spans="2:12" x14ac:dyDescent="0.25">
      <c r="B14" s="30" t="s">
        <v>14</v>
      </c>
      <c r="C14" s="30"/>
      <c r="D14" s="30"/>
      <c r="E14" s="30"/>
      <c r="F14" s="30"/>
      <c r="G14" s="30"/>
      <c r="H14" s="30"/>
      <c r="I14" s="30"/>
      <c r="J14" s="23">
        <f>J13*L14</f>
        <v>0.51181541816296006</v>
      </c>
      <c r="K14" s="10" t="s">
        <v>15</v>
      </c>
      <c r="L14" s="33">
        <f>_xlfn.T.INV.2T(1-0.9545,INT(L13))</f>
        <v>2.1050905999895582</v>
      </c>
    </row>
    <row r="16" spans="2:12" s="11" customFormat="1" ht="11.25" x14ac:dyDescent="0.2">
      <c r="B16" s="11" t="s">
        <v>19</v>
      </c>
    </row>
    <row r="17" spans="2:4" s="11" customFormat="1" ht="11.25" x14ac:dyDescent="0.2">
      <c r="B17" s="11" t="s">
        <v>23</v>
      </c>
    </row>
    <row r="18" spans="2:4" s="11" customFormat="1" ht="11.25" x14ac:dyDescent="0.2">
      <c r="B18" s="12" t="s">
        <v>20</v>
      </c>
    </row>
    <row r="19" spans="2:4" s="11" customFormat="1" ht="11.25" x14ac:dyDescent="0.2">
      <c r="B19" s="12" t="s">
        <v>21</v>
      </c>
    </row>
    <row r="20" spans="2:4" s="11" customFormat="1" ht="11.25" x14ac:dyDescent="0.2">
      <c r="B20" s="12" t="s">
        <v>22</v>
      </c>
    </row>
    <row r="26" spans="2:4" x14ac:dyDescent="0.25">
      <c r="D26" s="1" t="s">
        <v>3</v>
      </c>
    </row>
    <row r="27" spans="2:4" x14ac:dyDescent="0.25">
      <c r="B27" s="15" t="s">
        <v>27</v>
      </c>
      <c r="C27" s="13">
        <v>20</v>
      </c>
      <c r="D27" s="2" t="s">
        <v>11</v>
      </c>
    </row>
    <row r="28" spans="2:4" x14ac:dyDescent="0.25">
      <c r="B28" s="15" t="s">
        <v>28</v>
      </c>
      <c r="C28" s="13">
        <v>20.399999999999999</v>
      </c>
      <c r="D28" s="2" t="s">
        <v>11</v>
      </c>
    </row>
    <row r="29" spans="2:4" x14ac:dyDescent="0.25">
      <c r="B29" s="15" t="s">
        <v>29</v>
      </c>
      <c r="C29" s="13">
        <v>20.100000000000001</v>
      </c>
      <c r="D29" s="2" t="s">
        <v>11</v>
      </c>
    </row>
    <row r="30" spans="2:4" x14ac:dyDescent="0.25">
      <c r="B30" s="15" t="s">
        <v>30</v>
      </c>
      <c r="C30" s="13">
        <v>20.6</v>
      </c>
      <c r="D30" s="2" t="s">
        <v>11</v>
      </c>
    </row>
    <row r="31" spans="2:4" x14ac:dyDescent="0.25">
      <c r="B31" s="15" t="s">
        <v>31</v>
      </c>
      <c r="C31" s="13">
        <v>19.899999999999999</v>
      </c>
      <c r="D31" s="2" t="s">
        <v>11</v>
      </c>
    </row>
    <row r="32" spans="2:4" x14ac:dyDescent="0.25">
      <c r="B32" s="8" t="s">
        <v>32</v>
      </c>
      <c r="C32" s="16">
        <f>AVERAGE(C27:C31)</f>
        <v>20.2</v>
      </c>
      <c r="D32" s="2" t="s">
        <v>11</v>
      </c>
    </row>
    <row r="33" spans="2:4" x14ac:dyDescent="0.25">
      <c r="B33" s="8" t="s">
        <v>33</v>
      </c>
      <c r="C33" s="17">
        <f>_xlfn.STDEV.S(C27:C31)</f>
        <v>0.29154759474226549</v>
      </c>
      <c r="D33" s="2" t="s">
        <v>11</v>
      </c>
    </row>
    <row r="34" spans="2:4" x14ac:dyDescent="0.25">
      <c r="B34" s="15" t="s">
        <v>34</v>
      </c>
      <c r="C34" s="14">
        <v>5</v>
      </c>
      <c r="D34" s="2"/>
    </row>
    <row r="35" spans="2:4" x14ac:dyDescent="0.25">
      <c r="B35" s="8" t="s">
        <v>25</v>
      </c>
      <c r="C35" s="17">
        <f>C33/SQRT(C34)</f>
        <v>0.13038404810405319</v>
      </c>
      <c r="D35" s="2"/>
    </row>
    <row r="36" spans="2:4" x14ac:dyDescent="0.25">
      <c r="B36" s="8" t="s">
        <v>9</v>
      </c>
      <c r="C36" s="17">
        <v>4</v>
      </c>
      <c r="D36" s="2"/>
    </row>
    <row r="37" spans="2:4" x14ac:dyDescent="0.25">
      <c r="B37" s="1"/>
      <c r="C37" s="14"/>
      <c r="D37" s="2"/>
    </row>
    <row r="38" spans="2:4" x14ac:dyDescent="0.25">
      <c r="B38" s="1"/>
      <c r="C38" s="14"/>
      <c r="D38" s="2"/>
    </row>
    <row r="39" spans="2:4" x14ac:dyDescent="0.25">
      <c r="B39" s="1"/>
      <c r="C39" s="14"/>
      <c r="D39" s="2"/>
    </row>
    <row r="40" spans="2:4" x14ac:dyDescent="0.25">
      <c r="B40" s="1"/>
      <c r="C40" s="14"/>
      <c r="D40" s="2"/>
    </row>
    <row r="41" spans="2:4" x14ac:dyDescent="0.25">
      <c r="B41" s="1"/>
      <c r="C41" s="14"/>
      <c r="D41" s="2"/>
    </row>
  </sheetData>
  <mergeCells count="9">
    <mergeCell ref="B14:I14"/>
    <mergeCell ref="G3:G4"/>
    <mergeCell ref="H3:I3"/>
    <mergeCell ref="J3:J4"/>
    <mergeCell ref="K3:K4"/>
    <mergeCell ref="L3:L4"/>
    <mergeCell ref="B2:L2"/>
    <mergeCell ref="B3:F3"/>
    <mergeCell ref="B13:I13"/>
  </mergeCells>
  <phoneticPr fontId="14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8943-70F2-4859-9C7C-A441FCF7A924}">
  <dimension ref="A1:D28"/>
  <sheetViews>
    <sheetView workbookViewId="0">
      <selection sqref="A1:D28"/>
    </sheetView>
  </sheetViews>
  <sheetFormatPr defaultRowHeight="15" x14ac:dyDescent="0.25"/>
  <cols>
    <col min="1" max="1" width="9.140625" style="18"/>
    <col min="2" max="3" width="9.28515625" bestFit="1" customWidth="1"/>
    <col min="4" max="4" width="9.5703125" bestFit="1" customWidth="1"/>
  </cols>
  <sheetData>
    <row r="1" spans="1:4" x14ac:dyDescent="0.25">
      <c r="A1" s="3"/>
      <c r="B1" s="31" t="s">
        <v>36</v>
      </c>
      <c r="C1" s="31"/>
      <c r="D1" s="31"/>
    </row>
    <row r="2" spans="1:4" x14ac:dyDescent="0.25">
      <c r="A2" s="3" t="s">
        <v>37</v>
      </c>
      <c r="B2" s="22">
        <v>0.68269999999999997</v>
      </c>
      <c r="C2" s="22">
        <v>0.95450000000000002</v>
      </c>
      <c r="D2" s="22">
        <v>0.99729999999999996</v>
      </c>
    </row>
    <row r="3" spans="1:4" x14ac:dyDescent="0.25">
      <c r="A3" s="2">
        <v>1</v>
      </c>
      <c r="B3" s="19">
        <f>_xlfn.T.INV.2T(1-$B$2,A3)</f>
        <v>1.8374094294905463</v>
      </c>
      <c r="C3" s="19">
        <f>_xlfn.T.INV.2T(1-$C$2,A3)</f>
        <v>13.967811487502582</v>
      </c>
      <c r="D3" s="19">
        <f>_xlfn.T.INV.2T(1-$D$2,A3)</f>
        <v>235.7836871584895</v>
      </c>
    </row>
    <row r="4" spans="1:4" x14ac:dyDescent="0.25">
      <c r="A4" s="2">
        <v>2</v>
      </c>
      <c r="B4" s="19">
        <f t="shared" ref="B4:B28" si="0">_xlfn.T.INV.2T(1-$B$2,A4)</f>
        <v>1.3213154624456929</v>
      </c>
      <c r="C4" s="19">
        <f t="shared" ref="C4:C28" si="1">_xlfn.T.INV.2T(1-$C$2,A4)</f>
        <v>4.5265507600819923</v>
      </c>
      <c r="D4" s="19">
        <f t="shared" ref="D4:D28" si="2">_xlfn.T.INV.2T(1-$D$2,A4)</f>
        <v>19.20601588781097</v>
      </c>
    </row>
    <row r="5" spans="1:4" x14ac:dyDescent="0.25">
      <c r="A5" s="2">
        <v>3</v>
      </c>
      <c r="B5" s="19">
        <f t="shared" si="0"/>
        <v>1.1969125599716923</v>
      </c>
      <c r="C5" s="19">
        <f t="shared" si="1"/>
        <v>3.3068299207201113</v>
      </c>
      <c r="D5" s="19">
        <f t="shared" si="2"/>
        <v>9.2187018220373051</v>
      </c>
    </row>
    <row r="6" spans="1:4" x14ac:dyDescent="0.25">
      <c r="A6" s="2">
        <v>4</v>
      </c>
      <c r="B6" s="19">
        <f t="shared" si="0"/>
        <v>1.1416549872215624</v>
      </c>
      <c r="C6" s="19">
        <f t="shared" si="1"/>
        <v>2.8693151696963848</v>
      </c>
      <c r="D6" s="19">
        <f t="shared" si="2"/>
        <v>6.6200715511883663</v>
      </c>
    </row>
    <row r="7" spans="1:4" x14ac:dyDescent="0.25">
      <c r="A7" s="2">
        <v>5</v>
      </c>
      <c r="B7" s="19">
        <f t="shared" si="0"/>
        <v>1.1105333938140243</v>
      </c>
      <c r="C7" s="19">
        <f t="shared" si="1"/>
        <v>2.6486542542831191</v>
      </c>
      <c r="D7" s="19">
        <f t="shared" si="2"/>
        <v>5.5069849673548301</v>
      </c>
    </row>
    <row r="8" spans="1:4" x14ac:dyDescent="0.25">
      <c r="A8" s="2">
        <v>6</v>
      </c>
      <c r="B8" s="19">
        <f t="shared" si="0"/>
        <v>1.0905949070768337</v>
      </c>
      <c r="C8" s="19">
        <f t="shared" si="1"/>
        <v>2.5165283481216281</v>
      </c>
      <c r="D8" s="19">
        <f t="shared" si="2"/>
        <v>4.9039897756924269</v>
      </c>
    </row>
    <row r="9" spans="1:4" x14ac:dyDescent="0.25">
      <c r="A9" s="2">
        <v>7</v>
      </c>
      <c r="B9" s="19">
        <f t="shared" si="0"/>
        <v>1.0767385673224843</v>
      </c>
      <c r="C9" s="19">
        <f t="shared" si="1"/>
        <v>2.4288090822342414</v>
      </c>
      <c r="D9" s="19">
        <f t="shared" si="2"/>
        <v>4.5299104026465411</v>
      </c>
    </row>
    <row r="10" spans="1:4" x14ac:dyDescent="0.25">
      <c r="A10" s="2">
        <v>8</v>
      </c>
      <c r="B10" s="19">
        <f t="shared" si="0"/>
        <v>1.0665531354182853</v>
      </c>
      <c r="C10" s="19">
        <f t="shared" si="1"/>
        <v>2.3664194997430683</v>
      </c>
      <c r="D10" s="19">
        <f t="shared" si="2"/>
        <v>4.2765767995705755</v>
      </c>
    </row>
    <row r="11" spans="1:4" x14ac:dyDescent="0.25">
      <c r="A11" s="2">
        <v>9</v>
      </c>
      <c r="B11" s="19">
        <f t="shared" si="0"/>
        <v>1.0587520159773673</v>
      </c>
      <c r="C11" s="19">
        <f t="shared" si="1"/>
        <v>2.3198094410224317</v>
      </c>
      <c r="D11" s="19">
        <f t="shared" si="2"/>
        <v>4.0942048004765654</v>
      </c>
    </row>
    <row r="12" spans="1:4" x14ac:dyDescent="0.25">
      <c r="A12" s="2">
        <v>10</v>
      </c>
      <c r="B12" s="19">
        <f t="shared" si="0"/>
        <v>1.052586480618851</v>
      </c>
      <c r="C12" s="19">
        <f t="shared" si="1"/>
        <v>2.2836816132996423</v>
      </c>
      <c r="D12" s="19">
        <f t="shared" si="2"/>
        <v>3.9568899895110303</v>
      </c>
    </row>
    <row r="13" spans="1:4" x14ac:dyDescent="0.25">
      <c r="A13" s="2">
        <v>11</v>
      </c>
      <c r="B13" s="19">
        <f t="shared" si="0"/>
        <v>1.0475913649820714</v>
      </c>
      <c r="C13" s="19">
        <f t="shared" si="1"/>
        <v>2.2548660037131216</v>
      </c>
      <c r="D13" s="19">
        <f t="shared" si="2"/>
        <v>3.849892678014347</v>
      </c>
    </row>
    <row r="14" spans="1:4" x14ac:dyDescent="0.25">
      <c r="A14" s="2">
        <v>12</v>
      </c>
      <c r="B14" s="19">
        <f t="shared" si="0"/>
        <v>1.0434625125011039</v>
      </c>
      <c r="C14" s="19">
        <f t="shared" si="1"/>
        <v>2.2313513170834232</v>
      </c>
      <c r="D14" s="19">
        <f t="shared" si="2"/>
        <v>3.7642352242291217</v>
      </c>
    </row>
    <row r="15" spans="1:4" x14ac:dyDescent="0.25">
      <c r="A15" s="2">
        <v>13</v>
      </c>
      <c r="B15" s="19">
        <f t="shared" si="0"/>
        <v>1.0399926951165877</v>
      </c>
      <c r="C15" s="19">
        <f t="shared" si="1"/>
        <v>2.2118006973050455</v>
      </c>
      <c r="D15" s="19">
        <f t="shared" si="2"/>
        <v>3.6941488076526867</v>
      </c>
    </row>
    <row r="16" spans="1:4" x14ac:dyDescent="0.25">
      <c r="A16" s="2">
        <v>14</v>
      </c>
      <c r="B16" s="19">
        <f t="shared" si="0"/>
        <v>1.0370358684985483</v>
      </c>
      <c r="C16" s="19">
        <f t="shared" si="1"/>
        <v>2.1952912869767069</v>
      </c>
      <c r="D16" s="19">
        <f t="shared" si="2"/>
        <v>3.6357628679376583</v>
      </c>
    </row>
    <row r="17" spans="1:4" x14ac:dyDescent="0.25">
      <c r="A17" s="2">
        <v>15</v>
      </c>
      <c r="B17" s="19">
        <f t="shared" si="0"/>
        <v>1.0344861529336604</v>
      </c>
      <c r="C17" s="19">
        <f t="shared" si="1"/>
        <v>2.1811656819040768</v>
      </c>
      <c r="D17" s="19">
        <f t="shared" si="2"/>
        <v>3.5863863970086052</v>
      </c>
    </row>
    <row r="18" spans="1:4" x14ac:dyDescent="0.25">
      <c r="A18" s="2">
        <v>16</v>
      </c>
      <c r="B18" s="19">
        <f t="shared" si="0"/>
        <v>1.0322649192619053</v>
      </c>
      <c r="C18" s="19">
        <f t="shared" si="1"/>
        <v>2.1689429956774156</v>
      </c>
      <c r="D18" s="19">
        <f t="shared" si="2"/>
        <v>3.5440918560029533</v>
      </c>
    </row>
    <row r="19" spans="1:4" x14ac:dyDescent="0.25">
      <c r="A19" s="2">
        <v>17</v>
      </c>
      <c r="B19" s="19">
        <f t="shared" si="0"/>
        <v>1.0303125548772687</v>
      </c>
      <c r="C19" s="19">
        <f t="shared" si="1"/>
        <v>2.1582634005973014</v>
      </c>
      <c r="D19" s="19">
        <f t="shared" si="2"/>
        <v>3.5074631489525498</v>
      </c>
    </row>
    <row r="20" spans="1:4" x14ac:dyDescent="0.25">
      <c r="A20" s="20">
        <v>18</v>
      </c>
      <c r="B20" s="21">
        <f t="shared" si="0"/>
        <v>1.0285830442984703</v>
      </c>
      <c r="C20" s="21">
        <f t="shared" si="1"/>
        <v>2.1488523236373958</v>
      </c>
      <c r="D20" s="21">
        <f t="shared" si="2"/>
        <v>3.4754370048207397</v>
      </c>
    </row>
    <row r="21" spans="1:4" x14ac:dyDescent="0.25">
      <c r="A21" s="2">
        <v>19</v>
      </c>
      <c r="B21" s="19">
        <f t="shared" si="0"/>
        <v>1.0270403026558601</v>
      </c>
      <c r="C21" s="19">
        <f t="shared" si="1"/>
        <v>2.1404966299111416</v>
      </c>
      <c r="D21" s="19">
        <f t="shared" si="2"/>
        <v>3.4471998103899186</v>
      </c>
    </row>
    <row r="22" spans="1:4" x14ac:dyDescent="0.25">
      <c r="A22" s="2">
        <v>20</v>
      </c>
      <c r="B22" s="19">
        <f t="shared" si="0"/>
        <v>1.0256556346040997</v>
      </c>
      <c r="C22" s="19">
        <f t="shared" si="1"/>
        <v>2.1330283618908976</v>
      </c>
      <c r="D22" s="19">
        <f t="shared" si="2"/>
        <v>3.4221185666813847</v>
      </c>
    </row>
    <row r="23" spans="1:4" x14ac:dyDescent="0.25">
      <c r="A23" s="2">
        <v>25</v>
      </c>
      <c r="B23" s="19">
        <f t="shared" si="0"/>
        <v>1.0204266000885593</v>
      </c>
      <c r="C23" s="19">
        <f t="shared" si="1"/>
        <v>2.1050905999895582</v>
      </c>
      <c r="D23" s="19">
        <f t="shared" si="2"/>
        <v>3.329604096185323</v>
      </c>
    </row>
    <row r="24" spans="1:4" x14ac:dyDescent="0.25">
      <c r="A24" s="2">
        <v>30</v>
      </c>
      <c r="B24" s="19">
        <f t="shared" si="0"/>
        <v>1.0169692106477988</v>
      </c>
      <c r="C24" s="19">
        <f t="shared" si="1"/>
        <v>2.0868470535366517</v>
      </c>
      <c r="D24" s="19">
        <f t="shared" si="2"/>
        <v>3.270304796818603</v>
      </c>
    </row>
    <row r="25" spans="1:4" x14ac:dyDescent="0.25">
      <c r="A25" s="2">
        <v>40</v>
      </c>
      <c r="B25" s="19">
        <f t="shared" si="0"/>
        <v>1.0126794918225288</v>
      </c>
      <c r="C25" s="19">
        <f t="shared" si="1"/>
        <v>2.0644621214905721</v>
      </c>
      <c r="D25" s="19">
        <f t="shared" si="2"/>
        <v>3.1987409378251979</v>
      </c>
    </row>
    <row r="26" spans="1:4" x14ac:dyDescent="0.25">
      <c r="A26" s="2">
        <v>50</v>
      </c>
      <c r="B26" s="19">
        <f t="shared" si="0"/>
        <v>1.0101226537730994</v>
      </c>
      <c r="C26" s="19">
        <f t="shared" si="1"/>
        <v>2.0512507818518828</v>
      </c>
      <c r="D26" s="19">
        <f t="shared" si="2"/>
        <v>3.1571213161075593</v>
      </c>
    </row>
    <row r="27" spans="1:4" x14ac:dyDescent="0.25">
      <c r="A27" s="2">
        <v>100</v>
      </c>
      <c r="B27" s="19">
        <f t="shared" si="0"/>
        <v>1.0050469946346883</v>
      </c>
      <c r="C27" s="19">
        <f t="shared" si="1"/>
        <v>2.0253116527641954</v>
      </c>
      <c r="D27" s="19">
        <f t="shared" si="2"/>
        <v>3.0767308989178233</v>
      </c>
    </row>
    <row r="28" spans="1:4" x14ac:dyDescent="0.25">
      <c r="A28" s="20">
        <v>1000000</v>
      </c>
      <c r="B28" s="21">
        <f t="shared" si="0"/>
        <v>1.0000222132764731</v>
      </c>
      <c r="C28" s="21">
        <f t="shared" si="1"/>
        <v>2.0000049439012848</v>
      </c>
      <c r="D28" s="21">
        <f t="shared" si="2"/>
        <v>2.999984492574379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Balanço de Incerteza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Fernandes</dc:creator>
  <cp:lastModifiedBy>Fernando Fernandes</cp:lastModifiedBy>
  <dcterms:created xsi:type="dcterms:W3CDTF">2024-09-13T21:43:10Z</dcterms:created>
  <dcterms:modified xsi:type="dcterms:W3CDTF">2024-09-26T22:38:31Z</dcterms:modified>
</cp:coreProperties>
</file>