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esktop\"/>
    </mc:Choice>
  </mc:AlternateContent>
  <xr:revisionPtr revIDLastSave="0" documentId="13_ncr:1_{D0F40AB6-26D5-4899-9582-CEBAE2288C20}" xr6:coauthVersionLast="47" xr6:coauthVersionMax="47" xr10:uidLastSave="{00000000-0000-0000-0000-000000000000}"/>
  <bookViews>
    <workbookView xWindow="20370" yWindow="-120" windowWidth="29040" windowHeight="15720" xr2:uid="{9A32B564-2088-42F1-93F1-C3830070A0B2}"/>
  </bookViews>
  <sheets>
    <sheet name="GM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P8" i="1"/>
  <c r="P7" i="1"/>
  <c r="P6" i="1"/>
  <c r="P5" i="1"/>
  <c r="P4" i="1"/>
  <c r="K13" i="1"/>
  <c r="K2" i="1"/>
  <c r="P1" i="1"/>
  <c r="J12" i="1"/>
  <c r="P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2" i="1"/>
  <c r="P3" i="1" l="1"/>
  <c r="L13" i="1" l="1"/>
  <c r="L12" i="1"/>
  <c r="M12" i="1" s="1"/>
  <c r="L10" i="1"/>
  <c r="M10" i="1" s="1"/>
  <c r="L11" i="1"/>
  <c r="M11" i="1" s="1"/>
  <c r="L4" i="1"/>
  <c r="M4" i="1" s="1"/>
  <c r="L3" i="1"/>
  <c r="M3" i="1" s="1"/>
  <c r="L8" i="1"/>
  <c r="M8" i="1" s="1"/>
  <c r="L5" i="1"/>
  <c r="M5" i="1" s="1"/>
  <c r="L7" i="1"/>
  <c r="M7" i="1" s="1"/>
  <c r="L6" i="1"/>
  <c r="M6" i="1" s="1"/>
  <c r="L9" i="1"/>
  <c r="M9" i="1" s="1"/>
</calcChain>
</file>

<file path=xl/sharedStrings.xml><?xml version="1.0" encoding="utf-8"?>
<sst xmlns="http://schemas.openxmlformats.org/spreadsheetml/2006/main" count="42" uniqueCount="19">
  <si>
    <t>ln(T)</t>
  </si>
  <si>
    <t>Total</t>
  </si>
  <si>
    <t>a</t>
  </si>
  <si>
    <t>Sistema</t>
  </si>
  <si>
    <t>Horas</t>
  </si>
  <si>
    <t>Falhou</t>
  </si>
  <si>
    <t>Tempo Acum.</t>
  </si>
  <si>
    <t>#</t>
  </si>
  <si>
    <t>Sim</t>
  </si>
  <si>
    <t>Não</t>
  </si>
  <si>
    <t>MTBF Instantâneo no t=500</t>
  </si>
  <si>
    <t>Total Falhas</t>
  </si>
  <si>
    <t>Tempo Total</t>
  </si>
  <si>
    <t>Soma (ln(T))</t>
  </si>
  <si>
    <t>ROCOF</t>
  </si>
  <si>
    <t>MTBF</t>
  </si>
  <si>
    <t>alpha</t>
  </si>
  <si>
    <t>b (forma) / beta</t>
  </si>
  <si>
    <t>ROCOF em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</si>
</sst>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00"/>
    <numFmt numFmtId="166" formatCode="0.000000"/>
    <numFmt numFmtId="167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7" fontId="2" fillId="5" borderId="1" xfId="0" quotePrefix="1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22</xdr:row>
      <xdr:rowOff>0</xdr:rowOff>
    </xdr:from>
    <xdr:to>
      <xdr:col>7</xdr:col>
      <xdr:colOff>164416</xdr:colOff>
      <xdr:row>27</xdr:row>
      <xdr:rowOff>7620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9DF1A10-506E-FAFA-5069-A5ADD9F4C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269" y="4191000"/>
          <a:ext cx="1988820" cy="9601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10</xdr:col>
      <xdr:colOff>298645</xdr:colOff>
      <xdr:row>21</xdr:row>
      <xdr:rowOff>91440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D418C03-0A1B-4A31-0F09-F556B84CC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8269" y="3238500"/>
          <a:ext cx="3764280" cy="853440"/>
        </a:xfrm>
        <a:prstGeom prst="rect">
          <a:avLst/>
        </a:prstGeom>
      </xdr:spPr>
    </xdr:pic>
    <xdr:clientData/>
  </xdr:twoCellAnchor>
  <xdr:twoCellAnchor editAs="oneCell">
    <xdr:from>
      <xdr:col>10</xdr:col>
      <xdr:colOff>424961</xdr:colOff>
      <xdr:row>17</xdr:row>
      <xdr:rowOff>7327</xdr:rowOff>
    </xdr:from>
    <xdr:to>
      <xdr:col>14</xdr:col>
      <xdr:colOff>1388012</xdr:colOff>
      <xdr:row>20</xdr:row>
      <xdr:rowOff>75907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8C4BAE0-2E4D-E98D-CBDE-1ED7DDB1EE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9892"/>
        <a:stretch/>
      </xdr:blipFill>
      <xdr:spPr>
        <a:xfrm>
          <a:off x="5868865" y="3245827"/>
          <a:ext cx="3336974" cy="640080"/>
        </a:xfrm>
        <a:prstGeom prst="rect">
          <a:avLst/>
        </a:prstGeom>
      </xdr:spPr>
    </xdr:pic>
    <xdr:clientData/>
  </xdr:twoCellAnchor>
  <xdr:twoCellAnchor editAs="oneCell">
    <xdr:from>
      <xdr:col>10</xdr:col>
      <xdr:colOff>395654</xdr:colOff>
      <xdr:row>23</xdr:row>
      <xdr:rowOff>0</xdr:rowOff>
    </xdr:from>
    <xdr:to>
      <xdr:col>14</xdr:col>
      <xdr:colOff>426720</xdr:colOff>
      <xdr:row>26</xdr:row>
      <xdr:rowOff>68580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D1C75E4-9379-35C6-D96D-B87B2C3062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343"/>
        <a:stretch/>
      </xdr:blipFill>
      <xdr:spPr>
        <a:xfrm>
          <a:off x="5839558" y="4381500"/>
          <a:ext cx="2404989" cy="64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B431-71E5-4FBB-8DA8-B0C69F88633C}">
  <dimension ref="A1:P15"/>
  <sheetViews>
    <sheetView showGridLines="0" tabSelected="1" zoomScale="160" zoomScaleNormal="160" workbookViewId="0">
      <selection activeCell="L2" sqref="L2:M13"/>
    </sheetView>
  </sheetViews>
  <sheetFormatPr defaultRowHeight="15" x14ac:dyDescent="0.25"/>
  <cols>
    <col min="1" max="1" width="9.140625" style="1"/>
    <col min="2" max="2" width="2.28515625" style="1" customWidth="1"/>
    <col min="3" max="8" width="9.140625" style="1"/>
    <col min="9" max="9" width="2.28515625" style="1" customWidth="1"/>
    <col min="10" max="10" width="13.140625" style="1" bestFit="1" customWidth="1"/>
    <col min="11" max="11" width="9.5703125" style="1" bestFit="1" customWidth="1"/>
    <col min="12" max="12" width="11.7109375" style="1" bestFit="1" customWidth="1"/>
    <col min="13" max="13" width="11.7109375" style="1" customWidth="1"/>
    <col min="14" max="14" width="2.5703125" style="1" customWidth="1"/>
    <col min="15" max="15" width="26.5703125" style="1" bestFit="1" customWidth="1"/>
    <col min="16" max="16" width="9.5703125" style="1" bestFit="1" customWidth="1"/>
  </cols>
  <sheetData>
    <row r="1" spans="1:16" x14ac:dyDescent="0.25">
      <c r="A1" s="16" t="s">
        <v>7</v>
      </c>
      <c r="B1" s="7"/>
      <c r="C1" s="16" t="s">
        <v>3</v>
      </c>
      <c r="D1" s="16" t="s">
        <v>4</v>
      </c>
      <c r="E1" s="16" t="s">
        <v>5</v>
      </c>
      <c r="F1" s="16" t="s">
        <v>3</v>
      </c>
      <c r="G1" s="16" t="s">
        <v>4</v>
      </c>
      <c r="H1" s="16" t="s">
        <v>5</v>
      </c>
      <c r="I1" s="7"/>
      <c r="J1" s="16" t="s">
        <v>6</v>
      </c>
      <c r="K1" s="16" t="s">
        <v>0</v>
      </c>
      <c r="L1" s="16" t="s">
        <v>14</v>
      </c>
      <c r="M1" s="16" t="s">
        <v>15</v>
      </c>
      <c r="O1" s="17" t="s">
        <v>11</v>
      </c>
      <c r="P1" s="2">
        <f>A11</f>
        <v>10</v>
      </c>
    </row>
    <row r="2" spans="1:16" x14ac:dyDescent="0.25">
      <c r="A2" s="2">
        <v>1</v>
      </c>
      <c r="B2" s="6"/>
      <c r="C2" s="4">
        <v>1</v>
      </c>
      <c r="D2" s="4">
        <v>5.6</v>
      </c>
      <c r="E2" s="5" t="s">
        <v>8</v>
      </c>
      <c r="F2" s="4">
        <v>2</v>
      </c>
      <c r="G2" s="4">
        <v>4</v>
      </c>
      <c r="H2" s="2" t="s">
        <v>9</v>
      </c>
      <c r="I2" s="6"/>
      <c r="J2" s="2">
        <f t="shared" ref="J2:J11" si="0">D2+G2</f>
        <v>9.6</v>
      </c>
      <c r="K2" s="15">
        <f>LN(J2)</f>
        <v>2.2617630984737906</v>
      </c>
      <c r="L2" s="15">
        <f>$P$5*$P$4*J2^($P$4-1)</f>
        <v>5.3577248936322847E-2</v>
      </c>
      <c r="M2" s="15">
        <f>1/L2</f>
        <v>18.664638813174435</v>
      </c>
      <c r="N2" s="3"/>
      <c r="O2" s="17" t="s">
        <v>12</v>
      </c>
      <c r="P2" s="2">
        <f>J12</f>
        <v>500</v>
      </c>
    </row>
    <row r="3" spans="1:16" x14ac:dyDescent="0.25">
      <c r="A3" s="2">
        <v>2</v>
      </c>
      <c r="B3" s="6"/>
      <c r="C3" s="4">
        <v>1</v>
      </c>
      <c r="D3" s="4">
        <v>10.199999999999999</v>
      </c>
      <c r="E3" s="2" t="s">
        <v>9</v>
      </c>
      <c r="F3" s="4">
        <v>2</v>
      </c>
      <c r="G3" s="4">
        <v>8.6</v>
      </c>
      <c r="H3" s="5" t="s">
        <v>8</v>
      </c>
      <c r="I3" s="6"/>
      <c r="J3" s="2">
        <f t="shared" si="0"/>
        <v>18.799999999999997</v>
      </c>
      <c r="K3" s="15">
        <f t="shared" ref="K3:K11" si="1">LN(J3)</f>
        <v>2.9338568698359033</v>
      </c>
      <c r="L3" s="15">
        <f t="shared" ref="L2:L12" si="2">$P$5*$P$4*J3^($P$4-1)</f>
        <v>4.1960666052605691E-2</v>
      </c>
      <c r="M3" s="15">
        <f t="shared" ref="M3:M12" si="3">1/L3</f>
        <v>23.831842867944694</v>
      </c>
      <c r="N3" s="3"/>
      <c r="O3" s="17" t="s">
        <v>13</v>
      </c>
      <c r="P3" s="15">
        <f>K13</f>
        <v>46.432011092619362</v>
      </c>
    </row>
    <row r="4" spans="1:16" x14ac:dyDescent="0.25">
      <c r="A4" s="2">
        <v>3</v>
      </c>
      <c r="B4" s="6"/>
      <c r="C4" s="4">
        <v>1</v>
      </c>
      <c r="D4" s="4">
        <v>20.399999999999999</v>
      </c>
      <c r="E4" s="5" t="s">
        <v>8</v>
      </c>
      <c r="F4" s="4">
        <v>2</v>
      </c>
      <c r="G4" s="4">
        <v>18.100000000000001</v>
      </c>
      <c r="H4" s="2" t="s">
        <v>9</v>
      </c>
      <c r="I4" s="6"/>
      <c r="J4" s="2">
        <f t="shared" si="0"/>
        <v>38.5</v>
      </c>
      <c r="K4" s="15">
        <f t="shared" si="1"/>
        <v>3.6506582412937387</v>
      </c>
      <c r="L4" s="15">
        <f t="shared" si="2"/>
        <v>3.2332854408787609E-2</v>
      </c>
      <c r="M4" s="15">
        <f t="shared" si="3"/>
        <v>30.928293164497543</v>
      </c>
      <c r="N4" s="3"/>
      <c r="O4" s="17" t="s">
        <v>17</v>
      </c>
      <c r="P4" s="15">
        <f>P1/(P1*LN(P2)-P3)</f>
        <v>0.63637237641051259</v>
      </c>
    </row>
    <row r="5" spans="1:16" x14ac:dyDescent="0.25">
      <c r="A5" s="2">
        <v>4</v>
      </c>
      <c r="B5" s="6"/>
      <c r="C5" s="4">
        <v>1</v>
      </c>
      <c r="D5" s="4">
        <v>41.8</v>
      </c>
      <c r="E5" s="5" t="s">
        <v>8</v>
      </c>
      <c r="F5" s="4">
        <v>2</v>
      </c>
      <c r="G5" s="4">
        <v>36</v>
      </c>
      <c r="H5" s="2" t="s">
        <v>9</v>
      </c>
      <c r="I5" s="6"/>
      <c r="J5" s="2">
        <f t="shared" si="0"/>
        <v>77.8</v>
      </c>
      <c r="K5" s="15">
        <f t="shared" si="1"/>
        <v>4.3541414311843463</v>
      </c>
      <c r="L5" s="15">
        <f t="shared" si="2"/>
        <v>2.5035077890746556E-2</v>
      </c>
      <c r="M5" s="15">
        <f t="shared" si="3"/>
        <v>39.943954013804735</v>
      </c>
      <c r="N5" s="3"/>
      <c r="O5" s="17" t="s">
        <v>2</v>
      </c>
      <c r="P5" s="15">
        <f>P1/(P2^P4)</f>
        <v>0.19162406309616767</v>
      </c>
    </row>
    <row r="6" spans="1:16" x14ac:dyDescent="0.25">
      <c r="A6" s="2">
        <v>5</v>
      </c>
      <c r="B6" s="6"/>
      <c r="C6" s="4">
        <v>1</v>
      </c>
      <c r="D6" s="4">
        <v>72.3</v>
      </c>
      <c r="E6" s="2" t="s">
        <v>9</v>
      </c>
      <c r="F6" s="4">
        <v>2</v>
      </c>
      <c r="G6" s="4">
        <v>61.5</v>
      </c>
      <c r="H6" s="5" t="s">
        <v>8</v>
      </c>
      <c r="I6" s="6"/>
      <c r="J6" s="2">
        <f t="shared" si="0"/>
        <v>133.80000000000001</v>
      </c>
      <c r="K6" s="15">
        <f t="shared" si="1"/>
        <v>4.8963461476941283</v>
      </c>
      <c r="L6" s="15">
        <f t="shared" si="2"/>
        <v>2.0555269768423562E-2</v>
      </c>
      <c r="M6" s="15">
        <f t="shared" si="3"/>
        <v>48.649325027890043</v>
      </c>
      <c r="N6" s="3"/>
      <c r="O6" s="17" t="s">
        <v>16</v>
      </c>
      <c r="P6" s="15">
        <f>((J12^P4)/P1)^(1/P4)</f>
        <v>13.414145575924282</v>
      </c>
    </row>
    <row r="7" spans="1:16" x14ac:dyDescent="0.25">
      <c r="A7" s="2">
        <v>6</v>
      </c>
      <c r="B7" s="6"/>
      <c r="C7" s="4">
        <v>1</v>
      </c>
      <c r="D7" s="4">
        <v>88.5</v>
      </c>
      <c r="E7" s="5" t="s">
        <v>8</v>
      </c>
      <c r="F7" s="4">
        <v>2</v>
      </c>
      <c r="G7" s="4">
        <v>75</v>
      </c>
      <c r="H7" s="2" t="s">
        <v>9</v>
      </c>
      <c r="I7" s="6"/>
      <c r="J7" s="2">
        <f t="shared" si="0"/>
        <v>163.5</v>
      </c>
      <c r="K7" s="15">
        <f t="shared" si="1"/>
        <v>5.0968129903373081</v>
      </c>
      <c r="L7" s="15">
        <f t="shared" si="2"/>
        <v>1.9110196922621451E-2</v>
      </c>
      <c r="M7" s="15">
        <f t="shared" si="3"/>
        <v>52.32808453251797</v>
      </c>
      <c r="N7" s="3"/>
      <c r="O7" s="17" t="s">
        <v>18</v>
      </c>
      <c r="P7" s="15">
        <f>P5*P4*(P2^(P4-1))</f>
        <v>1.2727447528210256E-2</v>
      </c>
    </row>
    <row r="8" spans="1:16" x14ac:dyDescent="0.25">
      <c r="A8" s="2">
        <v>7</v>
      </c>
      <c r="B8" s="6"/>
      <c r="C8" s="4">
        <v>1</v>
      </c>
      <c r="D8" s="4">
        <v>120</v>
      </c>
      <c r="E8" s="5" t="s">
        <v>8</v>
      </c>
      <c r="F8" s="4">
        <v>2</v>
      </c>
      <c r="G8" s="4">
        <v>105.4</v>
      </c>
      <c r="H8" s="2" t="s">
        <v>9</v>
      </c>
      <c r="I8" s="6"/>
      <c r="J8" s="2">
        <f t="shared" si="0"/>
        <v>225.4</v>
      </c>
      <c r="K8" s="15">
        <f t="shared" si="1"/>
        <v>5.4178766016056761</v>
      </c>
      <c r="L8" s="15">
        <f t="shared" si="2"/>
        <v>1.7004439633998357E-2</v>
      </c>
      <c r="M8" s="15">
        <f t="shared" si="3"/>
        <v>58.808171367236284</v>
      </c>
      <c r="N8" s="3"/>
      <c r="O8" s="17" t="s">
        <v>10</v>
      </c>
      <c r="P8" s="15">
        <f>1/P7</f>
        <v>78.570349458012714</v>
      </c>
    </row>
    <row r="9" spans="1:16" x14ac:dyDescent="0.25">
      <c r="A9" s="2">
        <v>8</v>
      </c>
      <c r="B9" s="6"/>
      <c r="C9" s="4">
        <v>1</v>
      </c>
      <c r="D9" s="4">
        <v>170.7</v>
      </c>
      <c r="E9" s="2" t="s">
        <v>9</v>
      </c>
      <c r="F9" s="4">
        <v>2</v>
      </c>
      <c r="G9" s="4">
        <v>152.80000000000001</v>
      </c>
      <c r="H9" s="5" t="s">
        <v>8</v>
      </c>
      <c r="I9" s="6"/>
      <c r="J9" s="2">
        <f t="shared" si="0"/>
        <v>323.5</v>
      </c>
      <c r="K9" s="15">
        <f t="shared" si="1"/>
        <v>5.7791991139409555</v>
      </c>
      <c r="L9" s="15">
        <f t="shared" si="2"/>
        <v>1.4910827373126264E-2</v>
      </c>
      <c r="M9" s="15">
        <f t="shared" si="3"/>
        <v>67.065359619298974</v>
      </c>
      <c r="N9" s="3"/>
      <c r="O9" s="10"/>
      <c r="P9" s="9"/>
    </row>
    <row r="10" spans="1:16" x14ac:dyDescent="0.25">
      <c r="A10" s="2">
        <v>9</v>
      </c>
      <c r="B10" s="6"/>
      <c r="C10" s="4">
        <v>1</v>
      </c>
      <c r="D10" s="4">
        <v>190.2</v>
      </c>
      <c r="E10" s="2" t="s">
        <v>9</v>
      </c>
      <c r="F10" s="4">
        <v>2</v>
      </c>
      <c r="G10" s="4">
        <v>181.3</v>
      </c>
      <c r="H10" s="5" t="s">
        <v>8</v>
      </c>
      <c r="I10" s="6"/>
      <c r="J10" s="2">
        <f t="shared" si="0"/>
        <v>371.5</v>
      </c>
      <c r="K10" s="15">
        <f t="shared" si="1"/>
        <v>5.9175488641578138</v>
      </c>
      <c r="L10" s="15">
        <f t="shared" si="2"/>
        <v>1.4179252824336942E-2</v>
      </c>
      <c r="M10" s="15">
        <f t="shared" si="3"/>
        <v>70.525577926336368</v>
      </c>
      <c r="N10" s="3"/>
    </row>
    <row r="11" spans="1:16" x14ac:dyDescent="0.25">
      <c r="A11" s="11">
        <v>10</v>
      </c>
      <c r="B11" s="6"/>
      <c r="C11" s="4">
        <v>1</v>
      </c>
      <c r="D11" s="4">
        <v>200</v>
      </c>
      <c r="E11" s="2" t="s">
        <v>9</v>
      </c>
      <c r="F11" s="4">
        <v>2</v>
      </c>
      <c r="G11" s="4">
        <v>256.60000000000002</v>
      </c>
      <c r="H11" s="5" t="s">
        <v>8</v>
      </c>
      <c r="I11" s="6"/>
      <c r="J11" s="2">
        <f t="shared" si="0"/>
        <v>456.6</v>
      </c>
      <c r="K11" s="15">
        <f t="shared" si="1"/>
        <v>6.1238077340956956</v>
      </c>
      <c r="L11" s="15">
        <f t="shared" si="2"/>
        <v>1.3154690733332508E-2</v>
      </c>
      <c r="M11" s="15">
        <f t="shared" si="3"/>
        <v>76.018510831737942</v>
      </c>
      <c r="N11" s="3"/>
      <c r="O11" s="9"/>
    </row>
    <row r="12" spans="1:16" x14ac:dyDescent="0.25">
      <c r="A12" s="12">
        <v>11</v>
      </c>
      <c r="B12" s="13"/>
      <c r="C12" s="12">
        <v>1</v>
      </c>
      <c r="D12" s="12">
        <v>200</v>
      </c>
      <c r="E12" s="14" t="s">
        <v>9</v>
      </c>
      <c r="F12" s="12">
        <v>2</v>
      </c>
      <c r="G12" s="12">
        <v>300</v>
      </c>
      <c r="H12" s="14" t="s">
        <v>9</v>
      </c>
      <c r="I12" s="13"/>
      <c r="J12" s="14">
        <f>G12+D12</f>
        <v>500</v>
      </c>
      <c r="K12" s="15"/>
      <c r="L12" s="20">
        <f t="shared" si="2"/>
        <v>1.2727447528210256E-2</v>
      </c>
      <c r="M12" s="20">
        <f t="shared" si="3"/>
        <v>78.570349458012714</v>
      </c>
      <c r="O12" s="9"/>
    </row>
    <row r="13" spans="1:16" x14ac:dyDescent="0.25">
      <c r="J13" s="18" t="s">
        <v>1</v>
      </c>
      <c r="K13" s="19">
        <f>SUM(K2:K11)</f>
        <v>46.432011092619362</v>
      </c>
      <c r="L13" s="19">
        <f>$P$5*$P$4*J12^($P$4-1)</f>
        <v>1.2727447528210256E-2</v>
      </c>
      <c r="M13" s="19"/>
    </row>
    <row r="15" spans="1:16" x14ac:dyDescent="0.25">
      <c r="K15" s="10"/>
      <c r="N15" s="8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Fernandes</dc:creator>
  <cp:lastModifiedBy>Fernando Fernandes</cp:lastModifiedBy>
  <dcterms:created xsi:type="dcterms:W3CDTF">2024-05-25T13:49:54Z</dcterms:created>
  <dcterms:modified xsi:type="dcterms:W3CDTF">2024-06-16T12:46:04Z</dcterms:modified>
</cp:coreProperties>
</file>