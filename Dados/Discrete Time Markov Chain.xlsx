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.fernandes\Desktop\"/>
    </mc:Choice>
  </mc:AlternateContent>
  <xr:revisionPtr revIDLastSave="0" documentId="13_ncr:1_{D6EFD77A-3DD4-4CD2-AD58-0F3F8A1ABF66}" xr6:coauthVersionLast="47" xr6:coauthVersionMax="47" xr10:uidLastSave="{00000000-0000-0000-0000-000000000000}"/>
  <bookViews>
    <workbookView xWindow="20370" yWindow="-120" windowWidth="29040" windowHeight="15720" activeTab="1" xr2:uid="{1A011E45-3051-4349-9436-EA0216BB3D46}"/>
  </bookViews>
  <sheets>
    <sheet name="DTMC - No Repair" sheetId="2" r:id="rId1"/>
    <sheet name="DTMC - with Repair" sheetId="3" r:id="rId2"/>
  </sheets>
  <definedNames>
    <definedName name="q">'DTMC - No Repair'!$C$10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D7" i="3"/>
  <c r="C7" i="3"/>
  <c r="B7" i="3"/>
  <c r="D6" i="3"/>
  <c r="C6" i="3"/>
  <c r="B6" i="3"/>
  <c r="D5" i="3"/>
  <c r="C5" i="3"/>
  <c r="B5" i="3"/>
  <c r="D6" i="2"/>
  <c r="C6" i="2"/>
  <c r="D5" i="2"/>
  <c r="C5" i="2"/>
  <c r="B5" i="2"/>
  <c r="G3" i="2" s="1"/>
  <c r="J2" i="3"/>
  <c r="I3" i="3" l="1"/>
  <c r="J3" i="3" s="1"/>
  <c r="H3" i="3"/>
  <c r="G3" i="3"/>
  <c r="H3" i="2"/>
  <c r="I3" i="2"/>
  <c r="I4" i="3" l="1"/>
  <c r="J4" i="3" s="1"/>
  <c r="H4" i="3"/>
  <c r="G4" i="3"/>
  <c r="G4" i="2"/>
  <c r="J3" i="2"/>
  <c r="H4" i="2"/>
  <c r="I4" i="2"/>
  <c r="J4" i="2" s="1"/>
  <c r="G5" i="3" l="1"/>
  <c r="H5" i="3"/>
  <c r="I5" i="3"/>
  <c r="J5" i="3" s="1"/>
  <c r="I5" i="2"/>
  <c r="J5" i="2" s="1"/>
  <c r="H5" i="2"/>
  <c r="G5" i="2"/>
  <c r="I6" i="3" l="1"/>
  <c r="J6" i="3" s="1"/>
  <c r="G6" i="3"/>
  <c r="H6" i="3"/>
  <c r="G6" i="2"/>
  <c r="I6" i="2"/>
  <c r="J6" i="2" s="1"/>
  <c r="H6" i="2"/>
  <c r="G7" i="3" l="1"/>
  <c r="H7" i="3"/>
  <c r="I7" i="3"/>
  <c r="H7" i="2"/>
  <c r="G7" i="2"/>
  <c r="I7" i="2"/>
  <c r="J7" i="2" s="1"/>
  <c r="G8" i="3" l="1"/>
  <c r="H8" i="3"/>
  <c r="J7" i="3"/>
  <c r="I8" i="3"/>
  <c r="I8" i="2"/>
  <c r="J8" i="2" s="1"/>
  <c r="H8" i="2"/>
  <c r="G8" i="2"/>
  <c r="J8" i="3" l="1"/>
  <c r="G9" i="3"/>
  <c r="H9" i="3"/>
  <c r="I9" i="3"/>
  <c r="J9" i="3" s="1"/>
  <c r="I9" i="2"/>
  <c r="J9" i="2" s="1"/>
  <c r="H9" i="2"/>
  <c r="G9" i="2"/>
  <c r="G10" i="3" l="1"/>
  <c r="H10" i="3"/>
  <c r="I10" i="3"/>
  <c r="J10" i="3" s="1"/>
  <c r="I10" i="2"/>
  <c r="J10" i="2" s="1"/>
  <c r="G10" i="2"/>
  <c r="H10" i="2"/>
  <c r="G11" i="3" l="1"/>
  <c r="H11" i="3"/>
  <c r="I11" i="3"/>
  <c r="I11" i="2"/>
  <c r="J11" i="2" s="1"/>
  <c r="H11" i="2"/>
  <c r="G11" i="2"/>
  <c r="H12" i="3" l="1"/>
  <c r="I12" i="3"/>
  <c r="J12" i="3" s="1"/>
  <c r="J11" i="3"/>
  <c r="G12" i="3"/>
  <c r="I12" i="2"/>
  <c r="J12" i="2" s="1"/>
  <c r="G12" i="2"/>
  <c r="H12" i="2"/>
  <c r="I13" i="3" l="1"/>
  <c r="J13" i="3" s="1"/>
  <c r="G13" i="3"/>
  <c r="H13" i="3"/>
  <c r="I13" i="2"/>
  <c r="J13" i="2" s="1"/>
  <c r="H13" i="2"/>
  <c r="G13" i="2"/>
  <c r="I14" i="3" l="1"/>
  <c r="J14" i="3" s="1"/>
  <c r="G14" i="3"/>
  <c r="H14" i="3"/>
  <c r="G14" i="2"/>
  <c r="H14" i="2"/>
  <c r="I14" i="2"/>
  <c r="J14" i="2" s="1"/>
  <c r="G15" i="3" l="1"/>
  <c r="H15" i="3"/>
  <c r="I15" i="3"/>
  <c r="J15" i="3" s="1"/>
  <c r="I15" i="2"/>
  <c r="J15" i="2" s="1"/>
  <c r="G15" i="2"/>
  <c r="H15" i="2"/>
  <c r="G16" i="3" l="1"/>
  <c r="H16" i="3"/>
  <c r="I16" i="3"/>
  <c r="H16" i="2"/>
  <c r="G16" i="2"/>
  <c r="I16" i="2"/>
  <c r="J16" i="2" s="1"/>
  <c r="H17" i="3" l="1"/>
  <c r="J16" i="3"/>
  <c r="I17" i="3"/>
  <c r="G17" i="3"/>
  <c r="I17" i="2"/>
  <c r="J17" i="2" s="1"/>
  <c r="G17" i="2"/>
  <c r="H17" i="2"/>
  <c r="I18" i="3" l="1"/>
  <c r="J18" i="3" s="1"/>
  <c r="J17" i="3"/>
  <c r="G18" i="3"/>
  <c r="H18" i="3"/>
  <c r="I18" i="2"/>
  <c r="J18" i="2" s="1"/>
  <c r="H18" i="2"/>
  <c r="G18" i="2"/>
  <c r="G19" i="3" l="1"/>
  <c r="H19" i="3"/>
  <c r="I19" i="3"/>
  <c r="J19" i="3" s="1"/>
  <c r="H19" i="2"/>
  <c r="G19" i="2"/>
  <c r="I19" i="2"/>
  <c r="J19" i="2" s="1"/>
  <c r="H20" i="3" l="1"/>
  <c r="G20" i="3"/>
  <c r="I20" i="3"/>
  <c r="I20" i="2"/>
  <c r="J20" i="2" s="1"/>
  <c r="H20" i="2"/>
  <c r="G20" i="2"/>
  <c r="H21" i="3" l="1"/>
  <c r="I21" i="3"/>
  <c r="J21" i="3" s="1"/>
  <c r="J20" i="3"/>
  <c r="G21" i="3"/>
  <c r="I21" i="2"/>
  <c r="J21" i="2" s="1"/>
  <c r="H21" i="2"/>
  <c r="G21" i="2"/>
  <c r="G22" i="3" l="1"/>
  <c r="H22" i="3"/>
  <c r="I22" i="3"/>
  <c r="J22" i="3" s="1"/>
  <c r="G22" i="2"/>
  <c r="I22" i="2"/>
  <c r="J22" i="2" s="1"/>
  <c r="H22" i="2"/>
  <c r="G23" i="3" l="1"/>
  <c r="H23" i="3"/>
  <c r="I23" i="3"/>
  <c r="J23" i="3" s="1"/>
  <c r="G23" i="2"/>
  <c r="I23" i="2"/>
  <c r="J23" i="2" s="1"/>
  <c r="H23" i="2"/>
  <c r="G24" i="3" l="1"/>
  <c r="H24" i="3"/>
  <c r="I24" i="3"/>
  <c r="J24" i="3" s="1"/>
  <c r="I24" i="2"/>
  <c r="J24" i="2" s="1"/>
  <c r="H24" i="2"/>
  <c r="G24" i="2"/>
  <c r="G25" i="3" l="1"/>
  <c r="H25" i="3"/>
  <c r="I25" i="3"/>
  <c r="J25" i="3" s="1"/>
  <c r="I25" i="2"/>
  <c r="J25" i="2" s="1"/>
  <c r="H25" i="2"/>
  <c r="G25" i="2"/>
  <c r="H26" i="3" l="1"/>
  <c r="I26" i="3"/>
  <c r="J26" i="3" s="1"/>
  <c r="G26" i="3"/>
  <c r="H26" i="2"/>
  <c r="G26" i="2"/>
  <c r="I26" i="2"/>
  <c r="J26" i="2" s="1"/>
  <c r="I27" i="3" l="1"/>
  <c r="J27" i="3" s="1"/>
  <c r="G27" i="3"/>
  <c r="H27" i="3"/>
  <c r="G27" i="2"/>
  <c r="H27" i="2"/>
  <c r="I27" i="2"/>
  <c r="J27" i="2" s="1"/>
  <c r="G28" i="3" l="1"/>
  <c r="H28" i="3"/>
  <c r="I28" i="3"/>
  <c r="J28" i="3" s="1"/>
  <c r="I28" i="2"/>
  <c r="J28" i="2" s="1"/>
  <c r="H28" i="2"/>
  <c r="G28" i="2"/>
  <c r="H29" i="3" l="1"/>
  <c r="G29" i="3"/>
  <c r="I29" i="3"/>
  <c r="J29" i="3" s="1"/>
  <c r="I29" i="2"/>
  <c r="J29" i="2" s="1"/>
  <c r="G29" i="2"/>
  <c r="H29" i="2"/>
  <c r="G30" i="3" l="1"/>
  <c r="H30" i="3"/>
  <c r="I30" i="3"/>
  <c r="J30" i="3" s="1"/>
  <c r="I30" i="2"/>
  <c r="J30" i="2" s="1"/>
  <c r="H30" i="2"/>
  <c r="G30" i="2"/>
  <c r="G31" i="3" l="1"/>
  <c r="H31" i="3"/>
  <c r="I31" i="3"/>
  <c r="J31" i="3" s="1"/>
  <c r="G31" i="2"/>
  <c r="H31" i="2"/>
  <c r="I31" i="2"/>
  <c r="J31" i="2" s="1"/>
  <c r="G32" i="3" l="1"/>
  <c r="H32" i="3"/>
  <c r="I32" i="3"/>
  <c r="J32" i="3" s="1"/>
  <c r="H32" i="2"/>
  <c r="G32" i="2"/>
  <c r="I32" i="2"/>
  <c r="J32" i="2" s="1"/>
  <c r="H33" i="3" l="1"/>
  <c r="I33" i="3"/>
  <c r="J33" i="3" s="1"/>
  <c r="G33" i="3"/>
  <c r="I33" i="2"/>
  <c r="J33" i="2" s="1"/>
  <c r="G33" i="2"/>
  <c r="H33" i="2"/>
  <c r="I34" i="3" l="1"/>
  <c r="J34" i="3" s="1"/>
  <c r="G34" i="3"/>
  <c r="H34" i="3"/>
  <c r="I34" i="2"/>
  <c r="J34" i="2" s="1"/>
  <c r="H34" i="2"/>
  <c r="G34" i="2"/>
  <c r="G35" i="3" l="1"/>
  <c r="H35" i="3"/>
  <c r="I35" i="3"/>
  <c r="H35" i="2"/>
  <c r="I35" i="2"/>
  <c r="J35" i="2" s="1"/>
  <c r="G35" i="2"/>
  <c r="I36" i="3" l="1"/>
  <c r="J36" i="3" s="1"/>
  <c r="G36" i="3"/>
  <c r="J35" i="3"/>
  <c r="H36" i="3"/>
  <c r="I36" i="2"/>
  <c r="J36" i="2" s="1"/>
  <c r="G36" i="2"/>
  <c r="H36" i="2"/>
  <c r="G37" i="3" l="1"/>
  <c r="H37" i="3"/>
  <c r="I37" i="3"/>
  <c r="J37" i="3" s="1"/>
  <c r="G38" i="3"/>
  <c r="H38" i="3"/>
  <c r="I37" i="2"/>
  <c r="J37" i="2" s="1"/>
  <c r="H37" i="2"/>
  <c r="G37" i="2"/>
  <c r="I38" i="3" l="1"/>
  <c r="J38" i="3" s="1"/>
  <c r="G39" i="3"/>
  <c r="H39" i="3"/>
  <c r="I39" i="3"/>
  <c r="J39" i="3" s="1"/>
  <c r="G38" i="2"/>
  <c r="I38" i="2"/>
  <c r="J38" i="2" s="1"/>
  <c r="H38" i="2"/>
  <c r="G40" i="3" l="1"/>
  <c r="H40" i="3"/>
  <c r="I40" i="3"/>
  <c r="J40" i="3" s="1"/>
  <c r="H39" i="2"/>
  <c r="I39" i="2"/>
  <c r="J39" i="2" s="1"/>
  <c r="G39" i="2"/>
  <c r="G41" i="3" l="1"/>
  <c r="H41" i="3"/>
  <c r="I41" i="3"/>
  <c r="J41" i="3" s="1"/>
  <c r="I40" i="2"/>
  <c r="J40" i="2" s="1"/>
  <c r="H40" i="2"/>
  <c r="G40" i="2"/>
  <c r="G42" i="3" l="1"/>
  <c r="H42" i="3"/>
  <c r="I42" i="3"/>
  <c r="J42" i="3" s="1"/>
  <c r="I41" i="2"/>
  <c r="J41" i="2" s="1"/>
  <c r="G41" i="2"/>
  <c r="H41" i="2"/>
  <c r="G43" i="3" l="1"/>
  <c r="H43" i="3"/>
  <c r="I43" i="3"/>
  <c r="J43" i="3" s="1"/>
  <c r="I42" i="2"/>
  <c r="J42" i="2" s="1"/>
  <c r="G42" i="2"/>
  <c r="H42" i="2"/>
  <c r="G44" i="3" l="1"/>
  <c r="H44" i="3"/>
  <c r="I44" i="3"/>
  <c r="J44" i="3" s="1"/>
  <c r="H43" i="2"/>
  <c r="I43" i="2"/>
  <c r="J43" i="2" s="1"/>
  <c r="G43" i="2"/>
  <c r="G45" i="3" l="1"/>
  <c r="H45" i="3"/>
  <c r="I45" i="3"/>
  <c r="J45" i="3" s="1"/>
  <c r="I44" i="2"/>
  <c r="J44" i="2" s="1"/>
  <c r="G44" i="2"/>
  <c r="H44" i="2"/>
  <c r="G46" i="3" l="1"/>
  <c r="H46" i="3"/>
  <c r="I46" i="3"/>
  <c r="J46" i="3" s="1"/>
  <c r="I45" i="2"/>
  <c r="J45" i="2" s="1"/>
  <c r="H45" i="2"/>
  <c r="G45" i="2"/>
  <c r="G47" i="3" l="1"/>
  <c r="H47" i="3"/>
  <c r="I47" i="3"/>
  <c r="J47" i="3" s="1"/>
  <c r="I46" i="2"/>
  <c r="J46" i="2" s="1"/>
  <c r="G46" i="2"/>
  <c r="H46" i="2"/>
  <c r="G48" i="3" l="1"/>
  <c r="H48" i="3"/>
  <c r="I48" i="3"/>
  <c r="J48" i="3" s="1"/>
  <c r="I47" i="2"/>
  <c r="J47" i="2" s="1"/>
  <c r="G47" i="2"/>
  <c r="H47" i="2"/>
  <c r="G49" i="3" l="1"/>
  <c r="H49" i="3"/>
  <c r="I49" i="3"/>
  <c r="J49" i="3" s="1"/>
  <c r="I48" i="2"/>
  <c r="J48" i="2" s="1"/>
  <c r="G48" i="2"/>
  <c r="H48" i="2"/>
  <c r="G50" i="3" l="1"/>
  <c r="H50" i="3"/>
  <c r="I50" i="3"/>
  <c r="J50" i="3" s="1"/>
  <c r="I49" i="2"/>
  <c r="J49" i="2" s="1"/>
  <c r="H49" i="2"/>
  <c r="G49" i="2"/>
  <c r="G51" i="3" l="1"/>
  <c r="H51" i="3"/>
  <c r="I51" i="3"/>
  <c r="J51" i="3" s="1"/>
  <c r="H50" i="2"/>
  <c r="G50" i="2"/>
  <c r="I50" i="2"/>
  <c r="J50" i="2" s="1"/>
  <c r="G52" i="3" l="1"/>
  <c r="H52" i="3"/>
  <c r="I52" i="3"/>
  <c r="J52" i="3" s="1"/>
  <c r="H51" i="2"/>
  <c r="I51" i="2"/>
  <c r="J51" i="2" s="1"/>
  <c r="G51" i="2"/>
  <c r="G53" i="3" l="1"/>
  <c r="H53" i="3"/>
  <c r="I53" i="3"/>
  <c r="J53" i="3" s="1"/>
  <c r="I52" i="2"/>
  <c r="J52" i="2" s="1"/>
  <c r="G52" i="2"/>
  <c r="H52" i="2"/>
  <c r="G54" i="3" l="1"/>
  <c r="H54" i="3"/>
  <c r="I54" i="3"/>
  <c r="J54" i="3" s="1"/>
  <c r="I53" i="2"/>
  <c r="J53" i="2" s="1"/>
  <c r="H53" i="2"/>
  <c r="G53" i="2"/>
  <c r="G55" i="3" l="1"/>
  <c r="H55" i="3"/>
  <c r="I55" i="3"/>
  <c r="J55" i="3" s="1"/>
  <c r="G54" i="2"/>
  <c r="I54" i="2"/>
  <c r="J54" i="2" s="1"/>
  <c r="H54" i="2"/>
  <c r="G56" i="3" l="1"/>
  <c r="H56" i="3"/>
  <c r="I56" i="3"/>
  <c r="J56" i="3" s="1"/>
  <c r="I55" i="2"/>
  <c r="J55" i="2" s="1"/>
  <c r="G55" i="2"/>
  <c r="H55" i="2"/>
  <c r="G57" i="3" l="1"/>
  <c r="H57" i="3"/>
  <c r="I57" i="3"/>
  <c r="J57" i="3" s="1"/>
  <c r="I56" i="2"/>
  <c r="J56" i="2" s="1"/>
  <c r="G56" i="2"/>
  <c r="H56" i="2"/>
  <c r="G58" i="3" l="1"/>
  <c r="H58" i="3"/>
  <c r="I58" i="3"/>
  <c r="J58" i="3" s="1"/>
  <c r="I57" i="2"/>
  <c r="J57" i="2" s="1"/>
  <c r="G57" i="2"/>
  <c r="H57" i="2"/>
  <c r="G59" i="3" l="1"/>
  <c r="H59" i="3"/>
  <c r="I59" i="3"/>
  <c r="J59" i="3" s="1"/>
  <c r="I58" i="2"/>
  <c r="J58" i="2" s="1"/>
  <c r="G58" i="2"/>
  <c r="H58" i="2"/>
  <c r="G60" i="3" l="1"/>
  <c r="H60" i="3"/>
  <c r="I60" i="3"/>
  <c r="J60" i="3" s="1"/>
  <c r="H59" i="2"/>
  <c r="G59" i="2"/>
  <c r="I59" i="2"/>
  <c r="J59" i="2" s="1"/>
  <c r="G61" i="3" l="1"/>
  <c r="H61" i="3"/>
  <c r="I61" i="3"/>
  <c r="J61" i="3" s="1"/>
  <c r="H60" i="2"/>
  <c r="G60" i="2"/>
  <c r="I60" i="2"/>
  <c r="J60" i="2" s="1"/>
  <c r="G62" i="3" l="1"/>
  <c r="H62" i="3"/>
  <c r="I62" i="3"/>
  <c r="J62" i="3" s="1"/>
  <c r="I61" i="2"/>
  <c r="J61" i="2" s="1"/>
  <c r="G61" i="2"/>
  <c r="H61" i="2"/>
  <c r="G63" i="3" l="1"/>
  <c r="H63" i="3"/>
  <c r="I63" i="3"/>
  <c r="J63" i="3" s="1"/>
  <c r="I62" i="2"/>
  <c r="J62" i="2" s="1"/>
  <c r="G62" i="2"/>
  <c r="H62" i="2"/>
  <c r="G64" i="3" l="1"/>
  <c r="H64" i="3"/>
  <c r="I64" i="3"/>
  <c r="J64" i="3" s="1"/>
  <c r="I63" i="2"/>
  <c r="J63" i="2" s="1"/>
  <c r="G63" i="2"/>
  <c r="H63" i="2"/>
  <c r="G65" i="3" l="1"/>
  <c r="H65" i="3"/>
  <c r="I65" i="3"/>
  <c r="J65" i="3" s="1"/>
  <c r="I64" i="2"/>
  <c r="J64" i="2" s="1"/>
  <c r="G64" i="2"/>
  <c r="H64" i="2"/>
  <c r="G66" i="3" l="1"/>
  <c r="H66" i="3"/>
  <c r="I66" i="3"/>
  <c r="J66" i="3" s="1"/>
  <c r="I65" i="2"/>
  <c r="J65" i="2" s="1"/>
  <c r="H65" i="2"/>
  <c r="G65" i="2"/>
  <c r="G67" i="3" l="1"/>
  <c r="H67" i="3"/>
  <c r="I67" i="3"/>
  <c r="J67" i="3" s="1"/>
  <c r="I66" i="2"/>
  <c r="J66" i="2" s="1"/>
  <c r="G66" i="2"/>
  <c r="H66" i="2"/>
  <c r="G68" i="3" l="1"/>
  <c r="H68" i="3"/>
  <c r="I68" i="3"/>
  <c r="J68" i="3" s="1"/>
  <c r="H67" i="2"/>
  <c r="G67" i="2"/>
  <c r="I67" i="2"/>
  <c r="J67" i="2" s="1"/>
  <c r="G69" i="3" l="1"/>
  <c r="H69" i="3"/>
  <c r="I69" i="3"/>
  <c r="J69" i="3" s="1"/>
  <c r="I68" i="2"/>
  <c r="J68" i="2" s="1"/>
  <c r="G68" i="2"/>
  <c r="H68" i="2"/>
  <c r="G70" i="3" l="1"/>
  <c r="H70" i="3"/>
  <c r="I70" i="3"/>
  <c r="J70" i="3" s="1"/>
  <c r="I69" i="2"/>
  <c r="J69" i="2" s="1"/>
  <c r="H69" i="2"/>
  <c r="G69" i="2"/>
  <c r="G71" i="3" l="1"/>
  <c r="H71" i="3"/>
  <c r="I71" i="3"/>
  <c r="J71" i="3" s="1"/>
  <c r="G70" i="2"/>
  <c r="H70" i="2"/>
  <c r="I70" i="2"/>
  <c r="J70" i="2" s="1"/>
  <c r="G72" i="3" l="1"/>
  <c r="H72" i="3"/>
  <c r="I72" i="3"/>
  <c r="J72" i="3" s="1"/>
  <c r="I71" i="2"/>
  <c r="J71" i="2" s="1"/>
  <c r="H71" i="2"/>
  <c r="G71" i="2"/>
  <c r="G73" i="3" l="1"/>
  <c r="H73" i="3"/>
  <c r="I73" i="3"/>
  <c r="J73" i="3" s="1"/>
  <c r="I72" i="2"/>
  <c r="J72" i="2" s="1"/>
  <c r="G72" i="2"/>
  <c r="H72" i="2"/>
  <c r="G74" i="3" l="1"/>
  <c r="H74" i="3"/>
  <c r="I74" i="3"/>
  <c r="J74" i="3" s="1"/>
  <c r="I73" i="2"/>
  <c r="J73" i="2" s="1"/>
  <c r="G73" i="2"/>
  <c r="H73" i="2"/>
  <c r="G75" i="3" l="1"/>
  <c r="H75" i="3"/>
  <c r="I75" i="3"/>
  <c r="J75" i="3" s="1"/>
  <c r="I74" i="2"/>
  <c r="J74" i="2" s="1"/>
  <c r="G74" i="2"/>
  <c r="H74" i="2"/>
  <c r="G76" i="3" l="1"/>
  <c r="H76" i="3"/>
  <c r="I76" i="3"/>
  <c r="J76" i="3" s="1"/>
  <c r="H75" i="2"/>
  <c r="I75" i="2"/>
  <c r="J75" i="2" s="1"/>
  <c r="G75" i="2"/>
  <c r="G77" i="3" l="1"/>
  <c r="H77" i="3"/>
  <c r="I77" i="3"/>
  <c r="J77" i="3" s="1"/>
  <c r="I76" i="2"/>
  <c r="J76" i="2" s="1"/>
  <c r="G76" i="2"/>
  <c r="H76" i="2"/>
  <c r="G78" i="3" l="1"/>
  <c r="H78" i="3"/>
  <c r="I78" i="3"/>
  <c r="J78" i="3" s="1"/>
  <c r="I77" i="2"/>
  <c r="J77" i="2" s="1"/>
  <c r="G77" i="2"/>
  <c r="H77" i="2"/>
  <c r="G79" i="3" l="1"/>
  <c r="H79" i="3"/>
  <c r="I79" i="3"/>
  <c r="J79" i="3" s="1"/>
  <c r="I78" i="2"/>
  <c r="J78" i="2" s="1"/>
  <c r="H78" i="2"/>
  <c r="G78" i="2"/>
  <c r="G80" i="3" l="1"/>
  <c r="H80" i="3"/>
  <c r="I80" i="3"/>
  <c r="J80" i="3" s="1"/>
  <c r="I79" i="2"/>
  <c r="J79" i="2" s="1"/>
  <c r="H79" i="2"/>
  <c r="G79" i="2"/>
  <c r="G81" i="3" l="1"/>
  <c r="H81" i="3"/>
  <c r="I81" i="3"/>
  <c r="J81" i="3" s="1"/>
  <c r="I80" i="2"/>
  <c r="J80" i="2" s="1"/>
  <c r="G80" i="2"/>
  <c r="H80" i="2"/>
  <c r="G82" i="3" l="1"/>
  <c r="H82" i="3"/>
  <c r="I82" i="3"/>
  <c r="J82" i="3" s="1"/>
  <c r="I81" i="2"/>
  <c r="J81" i="2" s="1"/>
  <c r="H81" i="2"/>
  <c r="G81" i="2"/>
  <c r="G83" i="3" l="1"/>
  <c r="H83" i="3"/>
  <c r="I83" i="3"/>
  <c r="J83" i="3" s="1"/>
  <c r="I82" i="2"/>
  <c r="J82" i="2" s="1"/>
  <c r="G82" i="2"/>
  <c r="H82" i="2"/>
  <c r="G84" i="3" l="1"/>
  <c r="H84" i="3"/>
  <c r="I84" i="3"/>
  <c r="J84" i="3" s="1"/>
  <c r="H83" i="2"/>
  <c r="I83" i="2"/>
  <c r="J83" i="2" s="1"/>
  <c r="G83" i="2"/>
  <c r="G85" i="3" l="1"/>
  <c r="H85" i="3"/>
  <c r="I85" i="3"/>
  <c r="J85" i="3" s="1"/>
  <c r="H84" i="2"/>
  <c r="G84" i="2"/>
  <c r="I84" i="2"/>
  <c r="J84" i="2" s="1"/>
  <c r="G86" i="3" l="1"/>
  <c r="H86" i="3"/>
  <c r="I86" i="3"/>
  <c r="J86" i="3" s="1"/>
  <c r="I85" i="2"/>
  <c r="J85" i="2" s="1"/>
  <c r="H85" i="2"/>
  <c r="G85" i="2"/>
  <c r="G87" i="3" l="1"/>
  <c r="H87" i="3"/>
  <c r="I87" i="3"/>
  <c r="J87" i="3" s="1"/>
  <c r="G86" i="2"/>
  <c r="I86" i="2"/>
  <c r="J86" i="2" s="1"/>
  <c r="H86" i="2"/>
  <c r="G88" i="3" l="1"/>
  <c r="H88" i="3"/>
  <c r="I88" i="3"/>
  <c r="J88" i="3" s="1"/>
  <c r="I87" i="2"/>
  <c r="J87" i="2" s="1"/>
  <c r="G87" i="2"/>
  <c r="H87" i="2"/>
  <c r="G89" i="3" l="1"/>
  <c r="H89" i="3"/>
  <c r="I89" i="3"/>
  <c r="J89" i="3" s="1"/>
  <c r="I88" i="2"/>
  <c r="J88" i="2" s="1"/>
  <c r="G88" i="2"/>
  <c r="H88" i="2"/>
  <c r="G90" i="3" l="1"/>
  <c r="H90" i="3"/>
  <c r="I90" i="3"/>
  <c r="J90" i="3" s="1"/>
  <c r="G89" i="2"/>
  <c r="H89" i="2"/>
  <c r="I89" i="2"/>
  <c r="J89" i="2" s="1"/>
  <c r="G91" i="3" l="1"/>
  <c r="H91" i="3"/>
  <c r="I91" i="3"/>
  <c r="J91" i="3" s="1"/>
  <c r="I90" i="2"/>
  <c r="J90" i="2" s="1"/>
  <c r="H90" i="2"/>
  <c r="G90" i="2"/>
  <c r="G92" i="3" l="1"/>
  <c r="H92" i="3"/>
  <c r="I92" i="3"/>
  <c r="J92" i="3" s="1"/>
  <c r="G91" i="2"/>
  <c r="I91" i="2"/>
  <c r="J91" i="2" s="1"/>
  <c r="H91" i="2"/>
  <c r="G93" i="3" l="1"/>
  <c r="H93" i="3"/>
  <c r="I93" i="3"/>
  <c r="J93" i="3" s="1"/>
  <c r="I92" i="2"/>
  <c r="J92" i="2" s="1"/>
  <c r="H92" i="2"/>
  <c r="G92" i="2"/>
  <c r="G94" i="3" l="1"/>
  <c r="H94" i="3"/>
  <c r="I94" i="3"/>
  <c r="J94" i="3" s="1"/>
  <c r="H93" i="2"/>
  <c r="I93" i="2"/>
  <c r="J93" i="2" s="1"/>
  <c r="G93" i="2"/>
  <c r="G95" i="3" l="1"/>
  <c r="H95" i="3"/>
  <c r="I95" i="3"/>
  <c r="J95" i="3" s="1"/>
  <c r="G94" i="2"/>
  <c r="H94" i="2"/>
  <c r="I94" i="2"/>
  <c r="J94" i="2" s="1"/>
  <c r="G96" i="3" l="1"/>
  <c r="H96" i="3"/>
  <c r="I96" i="3"/>
  <c r="J96" i="3" s="1"/>
  <c r="I95" i="2"/>
  <c r="J95" i="2" s="1"/>
  <c r="G95" i="2"/>
  <c r="H95" i="2"/>
  <c r="G97" i="3" l="1"/>
  <c r="H97" i="3"/>
  <c r="I97" i="3"/>
  <c r="J97" i="3" s="1"/>
  <c r="I96" i="2"/>
  <c r="J96" i="2" s="1"/>
  <c r="G96" i="2"/>
  <c r="H96" i="2"/>
  <c r="G98" i="3" l="1"/>
  <c r="H98" i="3"/>
  <c r="I98" i="3"/>
  <c r="J98" i="3" s="1"/>
  <c r="I97" i="2"/>
  <c r="J97" i="2" s="1"/>
  <c r="H97" i="2"/>
  <c r="G97" i="2"/>
  <c r="G99" i="3" l="1"/>
  <c r="H99" i="3"/>
  <c r="I99" i="3"/>
  <c r="J99" i="3" s="1"/>
  <c r="I98" i="2"/>
  <c r="J98" i="2" s="1"/>
  <c r="H98" i="2"/>
  <c r="G98" i="2"/>
  <c r="G100" i="3" l="1"/>
  <c r="H100" i="3"/>
  <c r="I100" i="3"/>
  <c r="J100" i="3" s="1"/>
  <c r="H99" i="2"/>
  <c r="G99" i="2"/>
  <c r="I99" i="2"/>
  <c r="J99" i="2" s="1"/>
  <c r="G101" i="3" l="1"/>
  <c r="H101" i="3"/>
  <c r="I101" i="3"/>
  <c r="J101" i="3" s="1"/>
  <c r="G100" i="2"/>
  <c r="H100" i="2"/>
  <c r="I100" i="2"/>
  <c r="J100" i="2" s="1"/>
  <c r="G102" i="3" l="1"/>
  <c r="H102" i="3"/>
  <c r="I102" i="3"/>
  <c r="J102" i="3" s="1"/>
  <c r="I101" i="2"/>
  <c r="J101" i="2" s="1"/>
  <c r="G101" i="2"/>
  <c r="H101" i="2"/>
  <c r="G103" i="3" l="1"/>
  <c r="H103" i="3"/>
  <c r="I103" i="3"/>
  <c r="J103" i="3" s="1"/>
  <c r="G102" i="2"/>
  <c r="I102" i="2"/>
  <c r="J102" i="2" s="1"/>
  <c r="H102" i="2"/>
  <c r="G104" i="3" l="1"/>
  <c r="H104" i="3"/>
  <c r="I104" i="3"/>
  <c r="J104" i="3" s="1"/>
  <c r="I103" i="2"/>
  <c r="J103" i="2" s="1"/>
  <c r="G103" i="2"/>
  <c r="H103" i="2"/>
  <c r="G105" i="3" l="1"/>
  <c r="H105" i="3"/>
  <c r="I105" i="3"/>
  <c r="J105" i="3" s="1"/>
  <c r="I104" i="2"/>
  <c r="J104" i="2" s="1"/>
  <c r="H104" i="2"/>
  <c r="G104" i="2"/>
  <c r="G106" i="3" l="1"/>
  <c r="H106" i="3"/>
  <c r="I106" i="3"/>
  <c r="J106" i="3" s="1"/>
  <c r="H105" i="2"/>
  <c r="I105" i="2"/>
  <c r="J105" i="2" s="1"/>
  <c r="G105" i="2"/>
  <c r="G107" i="3" l="1"/>
  <c r="H107" i="3"/>
  <c r="I107" i="3"/>
  <c r="J107" i="3" s="1"/>
  <c r="I106" i="2"/>
  <c r="J106" i="2" s="1"/>
  <c r="H106" i="2"/>
  <c r="G106" i="2"/>
  <c r="G108" i="3" l="1"/>
  <c r="H108" i="3"/>
  <c r="I108" i="3"/>
  <c r="J108" i="3" s="1"/>
  <c r="H107" i="2"/>
  <c r="G107" i="2"/>
  <c r="I107" i="2"/>
  <c r="J107" i="2" s="1"/>
  <c r="G109" i="3" l="1"/>
  <c r="H109" i="3"/>
  <c r="I109" i="3"/>
  <c r="J109" i="3" s="1"/>
  <c r="I108" i="2"/>
  <c r="J108" i="2" s="1"/>
  <c r="G108" i="2"/>
  <c r="H108" i="2"/>
  <c r="G110" i="3" l="1"/>
  <c r="H110" i="3"/>
  <c r="I110" i="3"/>
  <c r="J110" i="3" s="1"/>
  <c r="I109" i="2"/>
  <c r="J109" i="2" s="1"/>
  <c r="H109" i="2"/>
  <c r="G109" i="2"/>
  <c r="G111" i="3" l="1"/>
  <c r="H111" i="3"/>
  <c r="I111" i="3"/>
  <c r="J111" i="3" s="1"/>
  <c r="G110" i="2"/>
  <c r="I110" i="2"/>
  <c r="J110" i="2" s="1"/>
  <c r="H110" i="2"/>
  <c r="G112" i="3" l="1"/>
  <c r="H112" i="3"/>
  <c r="I112" i="3"/>
  <c r="J112" i="3" s="1"/>
  <c r="I111" i="2"/>
  <c r="J111" i="2" s="1"/>
  <c r="H111" i="2"/>
  <c r="G111" i="2"/>
  <c r="G113" i="3" l="1"/>
  <c r="H113" i="3"/>
  <c r="I113" i="3"/>
  <c r="J113" i="3" s="1"/>
  <c r="I112" i="2"/>
  <c r="J112" i="2" s="1"/>
  <c r="H112" i="2"/>
  <c r="G112" i="2"/>
  <c r="G114" i="3" l="1"/>
  <c r="H114" i="3"/>
  <c r="I114" i="3"/>
  <c r="J114" i="3" s="1"/>
  <c r="H113" i="2"/>
  <c r="I113" i="2"/>
  <c r="J113" i="2" s="1"/>
  <c r="G113" i="2"/>
  <c r="G115" i="3" l="1"/>
  <c r="H115" i="3"/>
  <c r="I115" i="3"/>
  <c r="J115" i="3" s="1"/>
  <c r="I114" i="2"/>
  <c r="J114" i="2" s="1"/>
  <c r="H114" i="2"/>
  <c r="G114" i="2"/>
  <c r="G116" i="3" l="1"/>
  <c r="H116" i="3"/>
  <c r="I116" i="3"/>
  <c r="J116" i="3" s="1"/>
  <c r="H115" i="2"/>
  <c r="G115" i="2"/>
  <c r="I115" i="2"/>
  <c r="J115" i="2" s="1"/>
  <c r="G117" i="3" l="1"/>
  <c r="H117" i="3"/>
  <c r="I117" i="3"/>
  <c r="J117" i="3" s="1"/>
  <c r="G116" i="2"/>
  <c r="I116" i="2"/>
  <c r="J116" i="2" s="1"/>
  <c r="H116" i="2"/>
  <c r="G118" i="3" l="1"/>
  <c r="H118" i="3"/>
  <c r="I118" i="3"/>
  <c r="J118" i="3" s="1"/>
  <c r="I117" i="2"/>
  <c r="J117" i="2" s="1"/>
  <c r="H117" i="2"/>
  <c r="G117" i="2"/>
  <c r="G119" i="3" l="1"/>
  <c r="H119" i="3"/>
  <c r="I119" i="3"/>
  <c r="J119" i="3" s="1"/>
  <c r="G118" i="2"/>
  <c r="I118" i="2"/>
  <c r="J118" i="2" s="1"/>
  <c r="H118" i="2"/>
  <c r="G120" i="3" l="1"/>
  <c r="H120" i="3"/>
  <c r="I120" i="3"/>
  <c r="J120" i="3" s="1"/>
  <c r="I119" i="2"/>
  <c r="J119" i="2" s="1"/>
  <c r="H119" i="2"/>
  <c r="G119" i="2"/>
  <c r="G121" i="3" l="1"/>
  <c r="H121" i="3"/>
  <c r="I121" i="3"/>
  <c r="J121" i="3" s="1"/>
  <c r="I120" i="2"/>
  <c r="J120" i="2" s="1"/>
  <c r="H120" i="2"/>
  <c r="G120" i="2"/>
  <c r="G122" i="3" l="1"/>
  <c r="H122" i="3"/>
  <c r="I122" i="3"/>
  <c r="J122" i="3" s="1"/>
  <c r="I121" i="2"/>
  <c r="J121" i="2" s="1"/>
  <c r="H121" i="2"/>
  <c r="G121" i="2"/>
  <c r="G123" i="3" l="1"/>
  <c r="H123" i="3"/>
  <c r="I123" i="3"/>
  <c r="J123" i="3" s="1"/>
  <c r="I122" i="2"/>
  <c r="J122" i="2" s="1"/>
  <c r="G122" i="2"/>
  <c r="H122" i="2"/>
  <c r="G124" i="3" l="1"/>
  <c r="H124" i="3"/>
  <c r="I124" i="3"/>
  <c r="J124" i="3" s="1"/>
  <c r="H123" i="2"/>
  <c r="G123" i="2"/>
  <c r="I123" i="2"/>
  <c r="J123" i="2" s="1"/>
  <c r="G125" i="3" l="1"/>
  <c r="H125" i="3"/>
  <c r="I125" i="3"/>
  <c r="J125" i="3" s="1"/>
  <c r="I124" i="2"/>
  <c r="J124" i="2" s="1"/>
  <c r="H124" i="2"/>
  <c r="G124" i="2"/>
  <c r="G126" i="3" l="1"/>
  <c r="H126" i="3"/>
  <c r="I126" i="3"/>
  <c r="J126" i="3" s="1"/>
  <c r="I125" i="2"/>
  <c r="J125" i="2" s="1"/>
  <c r="H125" i="2"/>
  <c r="G125" i="2"/>
  <c r="G127" i="3" l="1"/>
  <c r="H127" i="3"/>
  <c r="I127" i="3"/>
  <c r="J127" i="3" s="1"/>
  <c r="G126" i="2"/>
  <c r="H126" i="2"/>
  <c r="I126" i="2"/>
  <c r="J126" i="2" s="1"/>
  <c r="G128" i="3" l="1"/>
  <c r="H128" i="3"/>
  <c r="I128" i="3"/>
  <c r="J128" i="3" s="1"/>
  <c r="I127" i="2"/>
  <c r="J127" i="2" s="1"/>
  <c r="G127" i="2"/>
  <c r="H127" i="2"/>
  <c r="G129" i="3" l="1"/>
  <c r="H129" i="3"/>
  <c r="I129" i="3"/>
  <c r="J129" i="3" s="1"/>
  <c r="I128" i="2"/>
  <c r="J128" i="2" s="1"/>
  <c r="H128" i="2"/>
  <c r="G128" i="2"/>
  <c r="G130" i="3" l="1"/>
  <c r="H130" i="3"/>
  <c r="I130" i="3"/>
  <c r="J130" i="3" s="1"/>
  <c r="H129" i="2"/>
  <c r="G129" i="2"/>
  <c r="I129" i="2"/>
  <c r="J129" i="2" s="1"/>
  <c r="G131" i="3" l="1"/>
  <c r="H131" i="3"/>
  <c r="I131" i="3"/>
  <c r="J131" i="3" s="1"/>
  <c r="I130" i="2"/>
  <c r="J130" i="2" s="1"/>
  <c r="H130" i="2"/>
  <c r="G130" i="2"/>
  <c r="G132" i="3" l="1"/>
  <c r="H132" i="3"/>
  <c r="I132" i="3"/>
  <c r="J132" i="3" s="1"/>
  <c r="H131" i="2"/>
  <c r="I131" i="2"/>
  <c r="J131" i="2" s="1"/>
  <c r="G131" i="2"/>
  <c r="G133" i="3" l="1"/>
  <c r="H133" i="3"/>
  <c r="I133" i="3"/>
  <c r="J133" i="3" s="1"/>
  <c r="I132" i="2"/>
  <c r="J132" i="2" s="1"/>
  <c r="G132" i="2"/>
  <c r="H132" i="2"/>
  <c r="G134" i="3" l="1"/>
  <c r="I134" i="3"/>
  <c r="J134" i="3" s="1"/>
  <c r="H134" i="3"/>
  <c r="I133" i="2"/>
  <c r="J133" i="2" s="1"/>
  <c r="H133" i="2"/>
  <c r="G133" i="2"/>
  <c r="G135" i="3" l="1"/>
  <c r="H135" i="3"/>
  <c r="I135" i="3"/>
  <c r="J135" i="3" s="1"/>
  <c r="G134" i="2"/>
  <c r="I134" i="2"/>
  <c r="J134" i="2" s="1"/>
  <c r="H134" i="2"/>
  <c r="H136" i="3" l="1"/>
  <c r="G136" i="3"/>
  <c r="I136" i="3"/>
  <c r="J136" i="3" s="1"/>
  <c r="I135" i="2"/>
  <c r="J135" i="2" s="1"/>
  <c r="G135" i="2"/>
  <c r="H135" i="2"/>
  <c r="G137" i="3" l="1"/>
  <c r="I137" i="3"/>
  <c r="J137" i="3" s="1"/>
  <c r="H137" i="3"/>
  <c r="H136" i="2"/>
  <c r="G136" i="2"/>
  <c r="I136" i="2"/>
  <c r="J136" i="2" s="1"/>
  <c r="G138" i="3" l="1"/>
  <c r="I138" i="3"/>
  <c r="J138" i="3" s="1"/>
  <c r="H138" i="3"/>
  <c r="H137" i="2"/>
  <c r="G137" i="2"/>
  <c r="I137" i="2"/>
  <c r="J137" i="2" s="1"/>
  <c r="G139" i="3" l="1"/>
  <c r="I139" i="3"/>
  <c r="J139" i="3" s="1"/>
  <c r="H139" i="3"/>
  <c r="H138" i="2"/>
  <c r="I138" i="2"/>
  <c r="J138" i="2" s="1"/>
  <c r="G138" i="2"/>
  <c r="G140" i="3" l="1"/>
  <c r="I140" i="3"/>
  <c r="J140" i="3" s="1"/>
  <c r="H140" i="3"/>
  <c r="G139" i="2"/>
  <c r="H139" i="2"/>
  <c r="I139" i="2"/>
  <c r="J139" i="2" s="1"/>
  <c r="G141" i="3" l="1"/>
  <c r="I141" i="3"/>
  <c r="J141" i="3" s="1"/>
  <c r="H141" i="3"/>
  <c r="G140" i="2"/>
  <c r="I140" i="2"/>
  <c r="J140" i="2" s="1"/>
  <c r="H140" i="2"/>
  <c r="G142" i="3" l="1"/>
  <c r="I142" i="3"/>
  <c r="J142" i="3" s="1"/>
  <c r="H142" i="3"/>
  <c r="I141" i="2"/>
  <c r="J141" i="2" s="1"/>
  <c r="H141" i="2"/>
  <c r="G141" i="2"/>
  <c r="G143" i="3" l="1"/>
  <c r="I143" i="3"/>
  <c r="J143" i="3" s="1"/>
  <c r="H143" i="3"/>
  <c r="G142" i="2"/>
  <c r="H142" i="2"/>
  <c r="I142" i="2"/>
  <c r="J142" i="2" s="1"/>
  <c r="G144" i="3" l="1"/>
  <c r="I144" i="3"/>
  <c r="J144" i="3" s="1"/>
  <c r="H144" i="3"/>
  <c r="H143" i="2"/>
  <c r="I143" i="2"/>
  <c r="J143" i="2" s="1"/>
  <c r="G143" i="2"/>
  <c r="G145" i="3" l="1"/>
  <c r="I145" i="3"/>
  <c r="J145" i="3" s="1"/>
  <c r="H145" i="3"/>
  <c r="I144" i="2"/>
  <c r="J144" i="2" s="1"/>
  <c r="G144" i="2"/>
  <c r="H144" i="2"/>
  <c r="G146" i="3" l="1"/>
  <c r="H146" i="3"/>
  <c r="I146" i="3"/>
  <c r="J146" i="3" s="1"/>
  <c r="I145" i="2"/>
  <c r="J145" i="2" s="1"/>
  <c r="H145" i="2"/>
  <c r="G145" i="2"/>
  <c r="G147" i="3" l="1"/>
  <c r="H147" i="3"/>
  <c r="I147" i="3"/>
  <c r="J147" i="3" s="1"/>
  <c r="H146" i="2"/>
  <c r="G146" i="2"/>
  <c r="I146" i="2"/>
  <c r="J146" i="2" s="1"/>
  <c r="G148" i="3" l="1"/>
  <c r="H148" i="3"/>
  <c r="I148" i="3"/>
  <c r="J148" i="3" s="1"/>
  <c r="H147" i="2"/>
  <c r="G147" i="2"/>
  <c r="I147" i="2"/>
  <c r="J147" i="2" s="1"/>
  <c r="G149" i="3" l="1"/>
  <c r="H149" i="3"/>
  <c r="I149" i="3"/>
  <c r="J149" i="3" s="1"/>
  <c r="G148" i="2"/>
  <c r="I148" i="2"/>
  <c r="J148" i="2" s="1"/>
  <c r="H148" i="2"/>
  <c r="G150" i="3" l="1"/>
  <c r="H150" i="3"/>
  <c r="I150" i="3"/>
  <c r="J150" i="3" s="1"/>
  <c r="I149" i="2"/>
  <c r="J149" i="2" s="1"/>
  <c r="H149" i="2"/>
  <c r="G149" i="2"/>
  <c r="G151" i="3" l="1"/>
  <c r="H151" i="3"/>
  <c r="I151" i="3"/>
  <c r="J151" i="3" s="1"/>
  <c r="G150" i="2"/>
  <c r="I150" i="2"/>
  <c r="J150" i="2" s="1"/>
  <c r="H150" i="2"/>
  <c r="G152" i="3" l="1"/>
  <c r="H152" i="3"/>
  <c r="I152" i="3"/>
  <c r="J152" i="3" s="1"/>
  <c r="I151" i="2"/>
  <c r="J151" i="2" s="1"/>
  <c r="H151" i="2"/>
  <c r="G151" i="2"/>
  <c r="G153" i="3" l="1"/>
  <c r="H153" i="3"/>
  <c r="I153" i="3"/>
  <c r="J153" i="3" s="1"/>
  <c r="I152" i="2"/>
  <c r="J152" i="2" s="1"/>
  <c r="H152" i="2"/>
  <c r="G152" i="2"/>
  <c r="G154" i="3" l="1"/>
  <c r="H154" i="3"/>
  <c r="I154" i="3"/>
  <c r="J154" i="3" s="1"/>
  <c r="H153" i="2"/>
  <c r="I153" i="2"/>
  <c r="J153" i="2" s="1"/>
  <c r="G153" i="2"/>
  <c r="G155" i="3" l="1"/>
  <c r="H155" i="3"/>
  <c r="I155" i="3"/>
  <c r="J155" i="3" s="1"/>
  <c r="I154" i="2"/>
  <c r="J154" i="2" s="1"/>
  <c r="H154" i="2"/>
  <c r="G154" i="2"/>
  <c r="G156" i="3" l="1"/>
  <c r="H156" i="3"/>
  <c r="I156" i="3"/>
  <c r="J156" i="3" s="1"/>
  <c r="H155" i="2"/>
  <c r="G155" i="2"/>
  <c r="I155" i="2"/>
  <c r="J155" i="2" s="1"/>
  <c r="G157" i="3" l="1"/>
  <c r="H157" i="3"/>
  <c r="I157" i="3"/>
  <c r="J157" i="3" s="1"/>
  <c r="I156" i="2"/>
  <c r="J156" i="2" s="1"/>
  <c r="G156" i="2"/>
  <c r="H156" i="2"/>
  <c r="G158" i="3" l="1"/>
  <c r="H158" i="3"/>
  <c r="I158" i="3"/>
  <c r="J158" i="3" s="1"/>
  <c r="I157" i="2"/>
  <c r="J157" i="2" s="1"/>
  <c r="H157" i="2"/>
  <c r="G157" i="2"/>
  <c r="G159" i="3" l="1"/>
  <c r="H159" i="3"/>
  <c r="I159" i="3"/>
  <c r="J159" i="3" s="1"/>
  <c r="G158" i="2"/>
  <c r="I158" i="2"/>
  <c r="J158" i="2" s="1"/>
  <c r="H158" i="2"/>
  <c r="G160" i="3" l="1"/>
  <c r="H160" i="3"/>
  <c r="I160" i="3"/>
  <c r="J160" i="3" s="1"/>
  <c r="I159" i="2"/>
  <c r="J159" i="2" s="1"/>
  <c r="H159" i="2"/>
  <c r="G159" i="2"/>
  <c r="G161" i="3" l="1"/>
  <c r="H161" i="3"/>
  <c r="I161" i="3"/>
  <c r="J161" i="3" s="1"/>
  <c r="I160" i="2"/>
  <c r="J160" i="2" s="1"/>
  <c r="H160" i="2"/>
  <c r="G160" i="2"/>
  <c r="G162" i="3" l="1"/>
  <c r="H162" i="3"/>
  <c r="I162" i="3"/>
  <c r="J162" i="3" s="1"/>
  <c r="H161" i="2"/>
  <c r="I161" i="2"/>
  <c r="J161" i="2" s="1"/>
  <c r="G161" i="2"/>
  <c r="G163" i="3" l="1"/>
  <c r="H163" i="3"/>
  <c r="I163" i="3"/>
  <c r="J163" i="3" s="1"/>
  <c r="I162" i="2"/>
  <c r="J162" i="2" s="1"/>
  <c r="H162" i="2"/>
  <c r="G162" i="2"/>
  <c r="G164" i="3" l="1"/>
  <c r="H164" i="3"/>
  <c r="I164" i="3"/>
  <c r="J164" i="3" s="1"/>
  <c r="H163" i="2"/>
  <c r="G163" i="2"/>
  <c r="I163" i="2"/>
  <c r="J163" i="2" s="1"/>
  <c r="G165" i="3" l="1"/>
  <c r="H165" i="3"/>
  <c r="I165" i="3"/>
  <c r="J165" i="3" s="1"/>
  <c r="I164" i="2"/>
  <c r="J164" i="2" s="1"/>
  <c r="G164" i="2"/>
  <c r="H164" i="2"/>
  <c r="G166" i="3" l="1"/>
  <c r="H166" i="3"/>
  <c r="I166" i="3"/>
  <c r="J166" i="3" s="1"/>
  <c r="I165" i="2"/>
  <c r="J165" i="2" s="1"/>
  <c r="H165" i="2"/>
  <c r="G165" i="2"/>
  <c r="G167" i="3" l="1"/>
  <c r="H167" i="3"/>
  <c r="I167" i="3"/>
  <c r="J167" i="3" s="1"/>
  <c r="G166" i="2"/>
  <c r="I166" i="2"/>
  <c r="J166" i="2" s="1"/>
  <c r="H166" i="2"/>
  <c r="G168" i="3" l="1"/>
  <c r="H168" i="3"/>
  <c r="I168" i="3"/>
  <c r="J168" i="3" s="1"/>
  <c r="I167" i="2"/>
  <c r="J167" i="2" s="1"/>
  <c r="G167" i="2"/>
  <c r="H167" i="2"/>
  <c r="G169" i="3" l="1"/>
  <c r="H169" i="3"/>
  <c r="I169" i="3"/>
  <c r="J169" i="3" s="1"/>
  <c r="I168" i="2"/>
  <c r="J168" i="2" s="1"/>
  <c r="H168" i="2"/>
  <c r="G168" i="2"/>
  <c r="G170" i="3" l="1"/>
  <c r="H170" i="3"/>
  <c r="I170" i="3"/>
  <c r="J170" i="3" s="1"/>
  <c r="H169" i="2"/>
  <c r="I169" i="2"/>
  <c r="J169" i="2" s="1"/>
  <c r="G169" i="2"/>
  <c r="G171" i="3" l="1"/>
  <c r="H171" i="3"/>
  <c r="I171" i="3"/>
  <c r="J171" i="3" s="1"/>
  <c r="I170" i="2"/>
  <c r="J170" i="2" s="1"/>
  <c r="H170" i="2"/>
  <c r="G170" i="2"/>
  <c r="G172" i="3" l="1"/>
  <c r="H172" i="3"/>
  <c r="I172" i="3"/>
  <c r="J172" i="3" s="1"/>
  <c r="H171" i="2"/>
  <c r="G171" i="2"/>
  <c r="I171" i="2"/>
  <c r="J171" i="2" s="1"/>
  <c r="G173" i="3" l="1"/>
  <c r="H173" i="3"/>
  <c r="I173" i="3"/>
  <c r="J173" i="3" s="1"/>
  <c r="I172" i="2"/>
  <c r="J172" i="2" s="1"/>
  <c r="H172" i="2"/>
  <c r="G172" i="2"/>
  <c r="G174" i="3" l="1"/>
  <c r="H174" i="3"/>
  <c r="I174" i="3"/>
  <c r="J174" i="3" s="1"/>
  <c r="I173" i="2"/>
  <c r="J173" i="2" s="1"/>
  <c r="H173" i="2"/>
  <c r="G173" i="2"/>
  <c r="G175" i="3" l="1"/>
  <c r="H175" i="3"/>
  <c r="I175" i="3"/>
  <c r="J175" i="3" s="1"/>
  <c r="G174" i="2"/>
  <c r="I174" i="2"/>
  <c r="J174" i="2" s="1"/>
  <c r="H174" i="2"/>
  <c r="G176" i="3" l="1"/>
  <c r="H176" i="3"/>
  <c r="I176" i="3"/>
  <c r="J176" i="3" s="1"/>
  <c r="I175" i="2"/>
  <c r="J175" i="2" s="1"/>
  <c r="H175" i="2"/>
  <c r="G175" i="2"/>
  <c r="G177" i="3" l="1"/>
  <c r="H177" i="3"/>
  <c r="I177" i="3"/>
  <c r="J177" i="3" s="1"/>
  <c r="I176" i="2"/>
  <c r="J176" i="2" s="1"/>
  <c r="H176" i="2"/>
  <c r="G176" i="2"/>
  <c r="G178" i="3" l="1"/>
  <c r="H178" i="3"/>
  <c r="I178" i="3"/>
  <c r="J178" i="3" s="1"/>
  <c r="I177" i="2"/>
  <c r="J177" i="2" s="1"/>
  <c r="H177" i="2"/>
  <c r="G177" i="2"/>
  <c r="G179" i="3" l="1"/>
  <c r="H179" i="3"/>
  <c r="I179" i="3"/>
  <c r="J179" i="3" s="1"/>
  <c r="I178" i="2"/>
  <c r="J178" i="2" s="1"/>
  <c r="H178" i="2"/>
  <c r="G178" i="2"/>
  <c r="G180" i="3" l="1"/>
  <c r="H180" i="3"/>
  <c r="I180" i="3"/>
  <c r="J180" i="3" s="1"/>
  <c r="H179" i="2"/>
  <c r="G179" i="2"/>
  <c r="I179" i="2"/>
  <c r="J179" i="2" s="1"/>
  <c r="G181" i="3" l="1"/>
  <c r="H181" i="3"/>
  <c r="I181" i="3"/>
  <c r="J181" i="3" s="1"/>
  <c r="I180" i="2"/>
  <c r="J180" i="2" s="1"/>
  <c r="H180" i="2"/>
  <c r="G180" i="2"/>
  <c r="G182" i="3" l="1"/>
  <c r="H182" i="3"/>
  <c r="I182" i="3"/>
  <c r="J182" i="3" s="1"/>
  <c r="I181" i="2"/>
  <c r="J181" i="2" s="1"/>
  <c r="H181" i="2"/>
  <c r="G181" i="2"/>
  <c r="G183" i="3" l="1"/>
  <c r="H183" i="3"/>
  <c r="I183" i="3"/>
  <c r="J183" i="3" s="1"/>
  <c r="G182" i="2"/>
  <c r="I182" i="2"/>
  <c r="J182" i="2" s="1"/>
  <c r="H182" i="2"/>
  <c r="G184" i="3" l="1"/>
  <c r="H184" i="3"/>
  <c r="I184" i="3"/>
  <c r="J184" i="3" s="1"/>
  <c r="I183" i="2"/>
  <c r="J183" i="2" s="1"/>
  <c r="H183" i="2"/>
  <c r="G183" i="2"/>
  <c r="G185" i="3" l="1"/>
  <c r="H185" i="3"/>
  <c r="I185" i="3"/>
  <c r="J185" i="3" s="1"/>
  <c r="I184" i="2"/>
  <c r="J184" i="2" s="1"/>
  <c r="H184" i="2"/>
  <c r="G184" i="2"/>
  <c r="G186" i="3" l="1"/>
  <c r="H186" i="3"/>
  <c r="I186" i="3"/>
  <c r="J186" i="3" s="1"/>
  <c r="H185" i="2"/>
  <c r="I185" i="2"/>
  <c r="J185" i="2" s="1"/>
  <c r="G185" i="2"/>
  <c r="G187" i="3" l="1"/>
  <c r="H187" i="3"/>
  <c r="I187" i="3"/>
  <c r="J187" i="3" s="1"/>
  <c r="I186" i="2"/>
  <c r="J186" i="2" s="1"/>
  <c r="H186" i="2"/>
  <c r="G186" i="2"/>
  <c r="G188" i="3" l="1"/>
  <c r="H188" i="3"/>
  <c r="I188" i="3"/>
  <c r="J188" i="3" s="1"/>
  <c r="H187" i="2"/>
  <c r="G187" i="2"/>
  <c r="I187" i="2"/>
  <c r="J187" i="2" s="1"/>
  <c r="G189" i="3" l="1"/>
  <c r="H189" i="3"/>
  <c r="I189" i="3"/>
  <c r="J189" i="3" s="1"/>
  <c r="G188" i="2"/>
  <c r="I188" i="2"/>
  <c r="J188" i="2" s="1"/>
  <c r="H188" i="2"/>
  <c r="G190" i="3" l="1"/>
  <c r="H190" i="3"/>
  <c r="I190" i="3"/>
  <c r="J190" i="3" s="1"/>
  <c r="I189" i="2"/>
  <c r="J189" i="2" s="1"/>
  <c r="H189" i="2"/>
  <c r="G189" i="2"/>
  <c r="G191" i="3" l="1"/>
  <c r="H191" i="3"/>
  <c r="I191" i="3"/>
  <c r="J191" i="3" s="1"/>
  <c r="G190" i="2"/>
  <c r="I190" i="2"/>
  <c r="J190" i="2" s="1"/>
  <c r="H190" i="2"/>
  <c r="G192" i="3" l="1"/>
  <c r="H192" i="3"/>
  <c r="I192" i="3"/>
  <c r="J192" i="3" s="1"/>
  <c r="I191" i="2"/>
  <c r="J191" i="2" s="1"/>
  <c r="H191" i="2"/>
  <c r="G191" i="2"/>
  <c r="G193" i="3" l="1"/>
  <c r="H193" i="3"/>
  <c r="I193" i="3"/>
  <c r="J193" i="3" s="1"/>
  <c r="I192" i="2"/>
  <c r="J192" i="2" s="1"/>
  <c r="H192" i="2"/>
  <c r="G192" i="2"/>
  <c r="G194" i="3" l="1"/>
  <c r="H194" i="3"/>
  <c r="I194" i="3"/>
  <c r="J194" i="3" s="1"/>
  <c r="H193" i="2"/>
  <c r="I193" i="2"/>
  <c r="J193" i="2" s="1"/>
  <c r="G193" i="2"/>
  <c r="G195" i="3" l="1"/>
  <c r="H195" i="3"/>
  <c r="I195" i="3"/>
  <c r="J195" i="3" s="1"/>
  <c r="I194" i="2"/>
  <c r="J194" i="2" s="1"/>
  <c r="H194" i="2"/>
  <c r="G194" i="2"/>
  <c r="G196" i="3" l="1"/>
  <c r="H196" i="3"/>
  <c r="I196" i="3"/>
  <c r="J196" i="3" s="1"/>
  <c r="H195" i="2"/>
  <c r="G195" i="2"/>
  <c r="I195" i="2"/>
  <c r="J195" i="2" s="1"/>
  <c r="G197" i="3" l="1"/>
  <c r="H197" i="3"/>
  <c r="I197" i="3"/>
  <c r="J197" i="3" s="1"/>
  <c r="I196" i="2"/>
  <c r="J196" i="2" s="1"/>
  <c r="G196" i="2"/>
  <c r="H196" i="2"/>
  <c r="G198" i="3" l="1"/>
  <c r="H198" i="3"/>
  <c r="I198" i="3"/>
  <c r="J198" i="3" s="1"/>
  <c r="I197" i="2"/>
  <c r="J197" i="2" s="1"/>
  <c r="H197" i="2"/>
  <c r="G197" i="2"/>
  <c r="G199" i="3" l="1"/>
  <c r="H199" i="3"/>
  <c r="I199" i="3"/>
  <c r="J199" i="3" s="1"/>
  <c r="G198" i="2"/>
  <c r="I198" i="2"/>
  <c r="J198" i="2" s="1"/>
  <c r="H198" i="2"/>
  <c r="G200" i="3" l="1"/>
  <c r="H200" i="3"/>
  <c r="I200" i="3"/>
  <c r="J200" i="3" s="1"/>
  <c r="I199" i="2"/>
  <c r="J199" i="2" s="1"/>
  <c r="H199" i="2"/>
  <c r="G199" i="2"/>
  <c r="G201" i="3" l="1"/>
  <c r="H201" i="3"/>
  <c r="I201" i="3"/>
  <c r="J201" i="3" s="1"/>
  <c r="I200" i="2"/>
  <c r="J200" i="2" s="1"/>
  <c r="H200" i="2"/>
  <c r="G200" i="2"/>
  <c r="G202" i="3" l="1"/>
  <c r="H202" i="3"/>
  <c r="I202" i="3"/>
  <c r="J202" i="3" s="1"/>
  <c r="H201" i="2"/>
  <c r="G201" i="2"/>
  <c r="I201" i="2"/>
  <c r="J201" i="2" s="1"/>
  <c r="G203" i="3" l="1"/>
  <c r="H203" i="3"/>
  <c r="I203" i="3"/>
  <c r="J203" i="3" s="1"/>
  <c r="H202" i="2"/>
  <c r="I202" i="2"/>
  <c r="J202" i="2" s="1"/>
  <c r="G202" i="2"/>
  <c r="G204" i="3" l="1"/>
  <c r="H204" i="3"/>
  <c r="I204" i="3"/>
  <c r="J204" i="3" s="1"/>
  <c r="G203" i="2"/>
  <c r="H203" i="2"/>
  <c r="I203" i="2"/>
  <c r="J203" i="2" s="1"/>
  <c r="G205" i="3" l="1"/>
  <c r="H205" i="3"/>
  <c r="I205" i="3"/>
  <c r="J205" i="3" s="1"/>
  <c r="I204" i="2"/>
  <c r="J204" i="2" s="1"/>
  <c r="G204" i="2"/>
  <c r="H204" i="2"/>
  <c r="G206" i="3" l="1"/>
  <c r="H206" i="3"/>
  <c r="I206" i="3"/>
  <c r="J206" i="3" s="1"/>
  <c r="G205" i="2"/>
  <c r="I205" i="2"/>
  <c r="J205" i="2" s="1"/>
  <c r="H205" i="2"/>
  <c r="G207" i="3" l="1"/>
  <c r="H207" i="3"/>
  <c r="I207" i="3"/>
  <c r="J207" i="3" s="1"/>
  <c r="I206" i="2"/>
  <c r="J206" i="2" s="1"/>
  <c r="H206" i="2"/>
  <c r="G206" i="2"/>
  <c r="G208" i="3" l="1"/>
  <c r="H208" i="3"/>
  <c r="I208" i="3"/>
  <c r="J208" i="3" s="1"/>
  <c r="H207" i="2"/>
  <c r="I207" i="2"/>
  <c r="J207" i="2" s="1"/>
  <c r="G207" i="2"/>
  <c r="G209" i="3" l="1"/>
  <c r="H209" i="3"/>
  <c r="I209" i="3"/>
  <c r="J209" i="3" s="1"/>
  <c r="G208" i="2"/>
  <c r="I208" i="2"/>
  <c r="J208" i="2" s="1"/>
  <c r="H208" i="2"/>
  <c r="G210" i="3" l="1"/>
  <c r="H210" i="3"/>
  <c r="I210" i="3"/>
  <c r="J210" i="3" s="1"/>
  <c r="H209" i="2"/>
  <c r="I209" i="2"/>
  <c r="J209" i="2" s="1"/>
  <c r="G209" i="2"/>
  <c r="G211" i="3" l="1"/>
  <c r="H211" i="3"/>
  <c r="I211" i="3"/>
  <c r="J211" i="3" s="1"/>
  <c r="H210" i="2"/>
  <c r="I210" i="2"/>
  <c r="J210" i="2" s="1"/>
  <c r="G210" i="2"/>
  <c r="G212" i="3" l="1"/>
  <c r="H212" i="3"/>
  <c r="I212" i="3"/>
  <c r="J212" i="3" s="1"/>
  <c r="G211" i="2"/>
  <c r="I211" i="2"/>
  <c r="J211" i="2" s="1"/>
  <c r="H211" i="2"/>
  <c r="G213" i="3" l="1"/>
  <c r="H213" i="3"/>
  <c r="I213" i="3"/>
  <c r="J213" i="3" s="1"/>
  <c r="G212" i="2"/>
  <c r="I212" i="2"/>
  <c r="J212" i="2" s="1"/>
  <c r="H212" i="2"/>
  <c r="G214" i="3" l="1"/>
  <c r="H214" i="3"/>
  <c r="I214" i="3"/>
  <c r="J214" i="3" s="1"/>
  <c r="H213" i="2"/>
  <c r="G213" i="2"/>
  <c r="I213" i="2"/>
  <c r="J213" i="2" s="1"/>
  <c r="G215" i="3" l="1"/>
  <c r="H215" i="3"/>
  <c r="I215" i="3"/>
  <c r="J215" i="3" s="1"/>
  <c r="I214" i="2"/>
  <c r="J214" i="2" s="1"/>
  <c r="G214" i="2"/>
  <c r="H214" i="2"/>
  <c r="G216" i="3" l="1"/>
  <c r="H216" i="3"/>
  <c r="I216" i="3"/>
  <c r="J216" i="3" s="1"/>
  <c r="I215" i="2"/>
  <c r="J215" i="2" s="1"/>
  <c r="G215" i="2"/>
  <c r="H215" i="2"/>
  <c r="G217" i="3" l="1"/>
  <c r="H217" i="3"/>
  <c r="I217" i="3"/>
  <c r="J217" i="3" s="1"/>
  <c r="G216" i="2"/>
  <c r="H216" i="2"/>
  <c r="I216" i="2"/>
  <c r="J216" i="2" s="1"/>
  <c r="G218" i="3" l="1"/>
  <c r="H218" i="3"/>
  <c r="I218" i="3"/>
  <c r="J218" i="3" s="1"/>
  <c r="H217" i="2"/>
  <c r="I217" i="2"/>
  <c r="J217" i="2" s="1"/>
  <c r="G217" i="2"/>
  <c r="G219" i="3" l="1"/>
  <c r="H219" i="3"/>
  <c r="I219" i="3"/>
  <c r="J219" i="3" s="1"/>
  <c r="G218" i="2"/>
  <c r="I218" i="2"/>
  <c r="J218" i="2" s="1"/>
  <c r="H218" i="2"/>
  <c r="G220" i="3" l="1"/>
  <c r="H220" i="3"/>
  <c r="I220" i="3"/>
  <c r="J220" i="3" s="1"/>
  <c r="G219" i="2"/>
  <c r="I219" i="2"/>
  <c r="J219" i="2" s="1"/>
  <c r="H219" i="2"/>
  <c r="G221" i="3" l="1"/>
  <c r="H221" i="3"/>
  <c r="I221" i="3"/>
  <c r="J221" i="3" s="1"/>
  <c r="I220" i="2"/>
  <c r="J220" i="2" s="1"/>
  <c r="H220" i="2"/>
  <c r="G220" i="2"/>
  <c r="G222" i="3" l="1"/>
  <c r="H222" i="3"/>
  <c r="I222" i="3"/>
  <c r="J222" i="3" s="1"/>
  <c r="H221" i="2"/>
  <c r="I221" i="2"/>
  <c r="J221" i="2" s="1"/>
  <c r="G221" i="2"/>
  <c r="G223" i="3" l="1"/>
  <c r="H223" i="3"/>
  <c r="I223" i="3"/>
  <c r="J223" i="3" s="1"/>
  <c r="G222" i="2"/>
  <c r="I222" i="2"/>
  <c r="J222" i="2" s="1"/>
  <c r="H222" i="2"/>
  <c r="G224" i="3" l="1"/>
  <c r="H224" i="3"/>
  <c r="I224" i="3"/>
  <c r="J224" i="3" s="1"/>
  <c r="I223" i="2"/>
  <c r="J223" i="2" s="1"/>
  <c r="G223" i="2"/>
  <c r="H223" i="2"/>
  <c r="G225" i="3" l="1"/>
  <c r="H225" i="3"/>
  <c r="I225" i="3"/>
  <c r="J225" i="3" s="1"/>
  <c r="G224" i="2"/>
  <c r="H224" i="2"/>
  <c r="I224" i="2"/>
  <c r="J224" i="2" s="1"/>
  <c r="G226" i="3" l="1"/>
  <c r="H226" i="3"/>
  <c r="I226" i="3"/>
  <c r="J226" i="3" s="1"/>
  <c r="G225" i="2"/>
  <c r="H225" i="2"/>
  <c r="I225" i="2"/>
  <c r="J225" i="2" s="1"/>
  <c r="G227" i="3" l="1"/>
  <c r="H227" i="3"/>
  <c r="I227" i="3"/>
  <c r="J227" i="3" s="1"/>
  <c r="G226" i="2"/>
  <c r="I226" i="2"/>
  <c r="J226" i="2" s="1"/>
  <c r="H226" i="2"/>
  <c r="G228" i="3" l="1"/>
  <c r="H228" i="3"/>
  <c r="I228" i="3"/>
  <c r="J228" i="3" s="1"/>
  <c r="G227" i="2"/>
  <c r="I227" i="2"/>
  <c r="J227" i="2" s="1"/>
  <c r="H227" i="2"/>
  <c r="G229" i="3" l="1"/>
  <c r="H229" i="3"/>
  <c r="I229" i="3"/>
  <c r="J229" i="3" s="1"/>
  <c r="I228" i="2"/>
  <c r="J228" i="2" s="1"/>
  <c r="H228" i="2"/>
  <c r="G228" i="2"/>
  <c r="G230" i="3" l="1"/>
  <c r="H230" i="3"/>
  <c r="I230" i="3"/>
  <c r="J230" i="3" s="1"/>
  <c r="H229" i="2"/>
  <c r="I229" i="2"/>
  <c r="J229" i="2" s="1"/>
  <c r="G229" i="2"/>
  <c r="G231" i="3" l="1"/>
  <c r="H231" i="3"/>
  <c r="I231" i="3"/>
  <c r="J231" i="3" s="1"/>
  <c r="G230" i="2"/>
  <c r="I230" i="2"/>
  <c r="J230" i="2" s="1"/>
  <c r="H230" i="2"/>
  <c r="H232" i="3" l="1"/>
  <c r="G232" i="3"/>
  <c r="I232" i="3"/>
  <c r="J232" i="3" s="1"/>
  <c r="H231" i="2"/>
  <c r="G231" i="2"/>
  <c r="I231" i="2"/>
  <c r="J231" i="2" s="1"/>
  <c r="G233" i="3" l="1"/>
  <c r="I233" i="3"/>
  <c r="J233" i="3" s="1"/>
  <c r="H233" i="3"/>
  <c r="G232" i="2"/>
  <c r="I232" i="2"/>
  <c r="J232" i="2" s="1"/>
  <c r="H232" i="2"/>
  <c r="G234" i="3" l="1"/>
  <c r="H234" i="3"/>
  <c r="I234" i="3"/>
  <c r="J234" i="3" s="1"/>
  <c r="G233" i="2"/>
  <c r="I233" i="2"/>
  <c r="J233" i="2" s="1"/>
  <c r="H233" i="2"/>
  <c r="H235" i="3" l="1"/>
  <c r="G235" i="3"/>
  <c r="I235" i="3"/>
  <c r="J235" i="3" s="1"/>
  <c r="I234" i="2"/>
  <c r="J234" i="2" s="1"/>
  <c r="H234" i="2"/>
  <c r="G234" i="2"/>
  <c r="G236" i="3" l="1"/>
  <c r="H236" i="3"/>
  <c r="I236" i="3"/>
  <c r="J236" i="3" s="1"/>
  <c r="G235" i="2"/>
  <c r="I235" i="2"/>
  <c r="J235" i="2" s="1"/>
  <c r="H235" i="2"/>
  <c r="H237" i="3" l="1"/>
  <c r="G237" i="3"/>
  <c r="I237" i="3"/>
  <c r="J237" i="3" s="1"/>
  <c r="I236" i="2"/>
  <c r="J236" i="2" s="1"/>
  <c r="H236" i="2"/>
  <c r="G236" i="2"/>
  <c r="G238" i="3" l="1"/>
  <c r="I238" i="3"/>
  <c r="J238" i="3" s="1"/>
  <c r="H238" i="3"/>
  <c r="G237" i="2"/>
  <c r="I237" i="2"/>
  <c r="J237" i="2" s="1"/>
  <c r="H237" i="2"/>
  <c r="G239" i="3" l="1"/>
  <c r="I239" i="3"/>
  <c r="J239" i="3" s="1"/>
  <c r="H239" i="3"/>
  <c r="G238" i="2"/>
  <c r="H238" i="2"/>
  <c r="I238" i="2"/>
  <c r="J238" i="2" s="1"/>
  <c r="G240" i="3" l="1"/>
  <c r="I240" i="3"/>
  <c r="J240" i="3" s="1"/>
  <c r="H240" i="3"/>
  <c r="I239" i="2"/>
  <c r="J239" i="2" s="1"/>
  <c r="H239" i="2"/>
  <c r="G239" i="2"/>
  <c r="G241" i="3" l="1"/>
  <c r="I241" i="3"/>
  <c r="J241" i="3" s="1"/>
  <c r="H241" i="3"/>
  <c r="G240" i="2"/>
  <c r="I240" i="2"/>
  <c r="J240" i="2" s="1"/>
  <c r="H240" i="2"/>
  <c r="G242" i="3" l="1"/>
  <c r="I242" i="3"/>
  <c r="J242" i="3" s="1"/>
  <c r="H242" i="3"/>
  <c r="G241" i="2"/>
  <c r="I241" i="2"/>
  <c r="J241" i="2" s="1"/>
  <c r="H241" i="2"/>
  <c r="G243" i="3" l="1"/>
  <c r="I243" i="3"/>
  <c r="J243" i="3" s="1"/>
  <c r="H243" i="3"/>
  <c r="G242" i="2"/>
  <c r="H242" i="2"/>
  <c r="I242" i="2"/>
  <c r="J242" i="2" s="1"/>
  <c r="G244" i="3" l="1"/>
  <c r="I244" i="3"/>
  <c r="J244" i="3" s="1"/>
  <c r="H244" i="3"/>
  <c r="G243" i="2"/>
  <c r="I243" i="2"/>
  <c r="J243" i="2" s="1"/>
  <c r="H243" i="2"/>
  <c r="G245" i="3" l="1"/>
  <c r="H245" i="3"/>
  <c r="I245" i="3"/>
  <c r="J245" i="3" s="1"/>
  <c r="I244" i="2"/>
  <c r="J244" i="2" s="1"/>
  <c r="G244" i="2"/>
  <c r="H244" i="2"/>
  <c r="H246" i="3" l="1"/>
  <c r="G246" i="3"/>
  <c r="I246" i="3"/>
  <c r="J246" i="3" s="1"/>
  <c r="H245" i="2"/>
  <c r="G245" i="2"/>
  <c r="I245" i="2"/>
  <c r="J245" i="2" s="1"/>
  <c r="G247" i="3" l="1"/>
  <c r="I247" i="3"/>
  <c r="J247" i="3" s="1"/>
  <c r="H247" i="3"/>
  <c r="H246" i="2"/>
  <c r="I246" i="2"/>
  <c r="J246" i="2" s="1"/>
  <c r="G246" i="2"/>
  <c r="G248" i="3" l="1"/>
  <c r="H248" i="3"/>
  <c r="I248" i="3"/>
  <c r="J248" i="3" s="1"/>
  <c r="I247" i="2"/>
  <c r="J247" i="2" s="1"/>
  <c r="H247" i="2"/>
  <c r="G247" i="2"/>
  <c r="G249" i="3" l="1"/>
  <c r="H249" i="3"/>
  <c r="I249" i="3"/>
  <c r="J249" i="3" s="1"/>
  <c r="H248" i="2"/>
  <c r="I248" i="2"/>
  <c r="J248" i="2" s="1"/>
  <c r="G248" i="2"/>
  <c r="G250" i="3" l="1"/>
  <c r="H250" i="3"/>
  <c r="I250" i="3"/>
  <c r="J250" i="3" s="1"/>
  <c r="I249" i="2"/>
  <c r="J249" i="2" s="1"/>
  <c r="H249" i="2"/>
  <c r="G249" i="2"/>
  <c r="G251" i="3" l="1"/>
  <c r="H251" i="3"/>
  <c r="I251" i="3"/>
  <c r="J251" i="3" s="1"/>
  <c r="I250" i="2"/>
  <c r="J250" i="2" s="1"/>
  <c r="H250" i="2"/>
  <c r="G250" i="2"/>
  <c r="G252" i="3" l="1"/>
  <c r="H252" i="3"/>
  <c r="I252" i="3"/>
  <c r="J252" i="3" s="1"/>
  <c r="G251" i="2"/>
  <c r="H251" i="2"/>
  <c r="I251" i="2"/>
  <c r="J251" i="2" s="1"/>
  <c r="G253" i="3" l="1"/>
  <c r="H253" i="3"/>
  <c r="I253" i="3"/>
  <c r="J253" i="3" s="1"/>
  <c r="I252" i="2"/>
  <c r="J252" i="2" s="1"/>
  <c r="H252" i="2"/>
  <c r="G252" i="2"/>
  <c r="G254" i="3" l="1"/>
  <c r="H254" i="3"/>
  <c r="I254" i="3"/>
  <c r="J254" i="3" s="1"/>
  <c r="I253" i="2"/>
  <c r="J253" i="2" s="1"/>
  <c r="G253" i="2"/>
  <c r="H253" i="2"/>
  <c r="G255" i="3" l="1"/>
  <c r="H255" i="3"/>
  <c r="I255" i="3"/>
  <c r="J255" i="3" s="1"/>
  <c r="I254" i="2"/>
  <c r="J254" i="2" s="1"/>
  <c r="G254" i="2"/>
  <c r="H254" i="2"/>
  <c r="G256" i="3" l="1"/>
  <c r="H256" i="3"/>
  <c r="I256" i="3"/>
  <c r="J256" i="3" s="1"/>
  <c r="I255" i="2"/>
  <c r="J255" i="2" s="1"/>
  <c r="H255" i="2"/>
  <c r="G255" i="2"/>
  <c r="G257" i="3" l="1"/>
  <c r="H257" i="3"/>
  <c r="I257" i="3"/>
  <c r="J257" i="3" s="1"/>
  <c r="H256" i="2"/>
  <c r="G256" i="2"/>
  <c r="I256" i="2"/>
  <c r="J256" i="2" s="1"/>
  <c r="G258" i="3" l="1"/>
  <c r="H258" i="3"/>
  <c r="I258" i="3"/>
  <c r="J258" i="3" s="1"/>
  <c r="I257" i="2"/>
  <c r="J257" i="2" s="1"/>
  <c r="G257" i="2"/>
  <c r="H257" i="2"/>
  <c r="G259" i="3" l="1"/>
  <c r="H259" i="3"/>
  <c r="I259" i="3"/>
  <c r="J259" i="3" s="1"/>
  <c r="I258" i="2"/>
  <c r="J258" i="2" s="1"/>
  <c r="H258" i="2"/>
  <c r="G258" i="2"/>
  <c r="G260" i="3" l="1"/>
  <c r="H260" i="3"/>
  <c r="I260" i="3"/>
  <c r="J260" i="3" s="1"/>
  <c r="G259" i="2"/>
  <c r="I259" i="2"/>
  <c r="J259" i="2" s="1"/>
  <c r="H259" i="2"/>
  <c r="G261" i="3" l="1"/>
  <c r="H261" i="3"/>
  <c r="I261" i="3"/>
  <c r="J261" i="3" s="1"/>
  <c r="G260" i="2"/>
  <c r="I260" i="2"/>
  <c r="J260" i="2" s="1"/>
  <c r="H260" i="2"/>
  <c r="G262" i="3" l="1"/>
  <c r="H262" i="3"/>
  <c r="I262" i="3"/>
  <c r="J262" i="3" s="1"/>
  <c r="H261" i="2"/>
  <c r="G261" i="2"/>
  <c r="I261" i="2"/>
  <c r="J261" i="2" s="1"/>
  <c r="G263" i="3" l="1"/>
  <c r="H263" i="3"/>
  <c r="I263" i="3"/>
  <c r="J263" i="3" s="1"/>
  <c r="H262" i="2"/>
  <c r="I262" i="2"/>
  <c r="J262" i="2" s="1"/>
  <c r="G262" i="2"/>
  <c r="G264" i="3" l="1"/>
  <c r="H264" i="3"/>
  <c r="I264" i="3"/>
  <c r="J264" i="3" s="1"/>
  <c r="H263" i="2"/>
  <c r="I263" i="2"/>
  <c r="J263" i="2" s="1"/>
  <c r="G263" i="2"/>
  <c r="G265" i="3" l="1"/>
  <c r="H265" i="3"/>
  <c r="I265" i="3"/>
  <c r="J265" i="3" s="1"/>
  <c r="I264" i="2"/>
  <c r="J264" i="2" s="1"/>
  <c r="H264" i="2"/>
  <c r="G264" i="2"/>
  <c r="G266" i="3" l="1"/>
  <c r="H266" i="3"/>
  <c r="I266" i="3"/>
  <c r="J266" i="3" s="1"/>
  <c r="I265" i="2"/>
  <c r="J265" i="2" s="1"/>
  <c r="G265" i="2"/>
  <c r="H265" i="2"/>
  <c r="G267" i="3" l="1"/>
  <c r="H267" i="3"/>
  <c r="I267" i="3"/>
  <c r="J267" i="3" s="1"/>
  <c r="I266" i="2"/>
  <c r="J266" i="2" s="1"/>
  <c r="H266" i="2"/>
  <c r="G266" i="2"/>
  <c r="G268" i="3" l="1"/>
  <c r="H268" i="3"/>
  <c r="I268" i="3"/>
  <c r="J268" i="3" s="1"/>
  <c r="I267" i="2"/>
  <c r="J267" i="2" s="1"/>
  <c r="G267" i="2"/>
  <c r="H267" i="2"/>
  <c r="G269" i="3" l="1"/>
  <c r="H269" i="3"/>
  <c r="I269" i="3"/>
  <c r="J269" i="3" s="1"/>
  <c r="I268" i="2"/>
  <c r="J268" i="2" s="1"/>
  <c r="H268" i="2"/>
  <c r="G268" i="2"/>
  <c r="G270" i="3" l="1"/>
  <c r="H270" i="3"/>
  <c r="I270" i="3"/>
  <c r="J270" i="3" s="1"/>
  <c r="G269" i="2"/>
  <c r="I269" i="2"/>
  <c r="J269" i="2" s="1"/>
  <c r="H269" i="2"/>
  <c r="G271" i="3" l="1"/>
  <c r="H271" i="3"/>
  <c r="I271" i="3"/>
  <c r="J271" i="3" s="1"/>
  <c r="H270" i="2"/>
  <c r="I270" i="2"/>
  <c r="J270" i="2" s="1"/>
  <c r="G270" i="2"/>
  <c r="G272" i="3" l="1"/>
  <c r="H272" i="3"/>
  <c r="I272" i="3"/>
  <c r="J272" i="3" s="1"/>
  <c r="G271" i="2"/>
  <c r="I271" i="2"/>
  <c r="J271" i="2" s="1"/>
  <c r="H271" i="2"/>
  <c r="G273" i="3" l="1"/>
  <c r="H273" i="3"/>
  <c r="I273" i="3"/>
  <c r="J273" i="3" s="1"/>
  <c r="H272" i="2"/>
  <c r="I272" i="2"/>
  <c r="J272" i="2" s="1"/>
  <c r="G272" i="2"/>
  <c r="G274" i="3" l="1"/>
  <c r="H274" i="3"/>
  <c r="I274" i="3"/>
  <c r="J274" i="3" s="1"/>
  <c r="I273" i="2"/>
  <c r="J273" i="2" s="1"/>
  <c r="G273" i="2"/>
  <c r="H273" i="2"/>
  <c r="G275" i="3" l="1"/>
  <c r="H275" i="3"/>
  <c r="I275" i="3"/>
  <c r="J275" i="3" s="1"/>
  <c r="I274" i="2"/>
  <c r="J274" i="2" s="1"/>
  <c r="G274" i="2"/>
  <c r="H274" i="2"/>
  <c r="G276" i="3" l="1"/>
  <c r="H276" i="3"/>
  <c r="I276" i="3"/>
  <c r="J276" i="3" s="1"/>
  <c r="G275" i="2"/>
  <c r="I275" i="2"/>
  <c r="J275" i="2" s="1"/>
  <c r="H275" i="2"/>
  <c r="G277" i="3" l="1"/>
  <c r="H277" i="3"/>
  <c r="I277" i="3"/>
  <c r="J277" i="3" s="1"/>
  <c r="I276" i="2"/>
  <c r="J276" i="2" s="1"/>
  <c r="H276" i="2"/>
  <c r="G276" i="2"/>
  <c r="G278" i="3" l="1"/>
  <c r="H278" i="3"/>
  <c r="I278" i="3"/>
  <c r="J278" i="3" s="1"/>
  <c r="I277" i="2"/>
  <c r="J277" i="2" s="1"/>
  <c r="G277" i="2"/>
  <c r="H277" i="2"/>
  <c r="G279" i="3" l="1"/>
  <c r="H279" i="3"/>
  <c r="I279" i="3"/>
  <c r="J279" i="3" s="1"/>
  <c r="H278" i="2"/>
  <c r="I278" i="2"/>
  <c r="J278" i="2" s="1"/>
  <c r="G278" i="2"/>
  <c r="G280" i="3" l="1"/>
  <c r="H280" i="3"/>
  <c r="I280" i="3"/>
  <c r="J280" i="3" s="1"/>
  <c r="I279" i="2"/>
  <c r="J279" i="2" s="1"/>
  <c r="G279" i="2"/>
  <c r="H279" i="2"/>
  <c r="G281" i="3" l="1"/>
  <c r="H281" i="3"/>
  <c r="I281" i="3"/>
  <c r="J281" i="3" s="1"/>
  <c r="H280" i="2"/>
  <c r="G280" i="2"/>
  <c r="I280" i="2"/>
  <c r="J280" i="2" s="1"/>
  <c r="G282" i="3" l="1"/>
  <c r="H282" i="3"/>
  <c r="I282" i="3"/>
  <c r="J282" i="3" s="1"/>
  <c r="I281" i="2"/>
  <c r="J281" i="2" s="1"/>
  <c r="G281" i="2"/>
  <c r="H281" i="2"/>
  <c r="G283" i="3" l="1"/>
  <c r="H283" i="3"/>
  <c r="I283" i="3"/>
  <c r="J283" i="3" s="1"/>
  <c r="I282" i="2"/>
  <c r="J282" i="2" s="1"/>
  <c r="H282" i="2"/>
  <c r="G282" i="2"/>
  <c r="G284" i="3" l="1"/>
  <c r="H284" i="3"/>
  <c r="I284" i="3"/>
  <c r="J284" i="3" s="1"/>
  <c r="G283" i="2"/>
  <c r="I283" i="2"/>
  <c r="J283" i="2" s="1"/>
  <c r="H283" i="2"/>
  <c r="G285" i="3" l="1"/>
  <c r="H285" i="3"/>
  <c r="I285" i="3"/>
  <c r="J285" i="3" s="1"/>
  <c r="I284" i="2"/>
  <c r="J284" i="2" s="1"/>
  <c r="G284" i="2"/>
  <c r="H284" i="2"/>
  <c r="G286" i="3" l="1"/>
  <c r="H286" i="3"/>
  <c r="I286" i="3"/>
  <c r="J286" i="3" s="1"/>
  <c r="H285" i="2"/>
  <c r="I285" i="2"/>
  <c r="J285" i="2" s="1"/>
  <c r="G285" i="2"/>
  <c r="G287" i="3" l="1"/>
  <c r="H287" i="3"/>
  <c r="I287" i="3"/>
  <c r="J287" i="3" s="1"/>
  <c r="I286" i="2"/>
  <c r="J286" i="2" s="1"/>
  <c r="G286" i="2"/>
  <c r="H286" i="2"/>
  <c r="G288" i="3" l="1"/>
  <c r="H288" i="3"/>
  <c r="I288" i="3"/>
  <c r="J288" i="3" s="1"/>
  <c r="I287" i="2"/>
  <c r="J287" i="2" s="1"/>
  <c r="H287" i="2"/>
  <c r="G287" i="2"/>
  <c r="G289" i="3" l="1"/>
  <c r="H289" i="3"/>
  <c r="I289" i="3"/>
  <c r="J289" i="3" s="1"/>
  <c r="H288" i="2"/>
  <c r="G288" i="2"/>
  <c r="I288" i="2"/>
  <c r="J288" i="2" s="1"/>
  <c r="G290" i="3" l="1"/>
  <c r="H290" i="3"/>
  <c r="I290" i="3"/>
  <c r="J290" i="3" s="1"/>
  <c r="I289" i="2"/>
  <c r="J289" i="2" s="1"/>
  <c r="H289" i="2"/>
  <c r="G289" i="2"/>
  <c r="G291" i="3" l="1"/>
  <c r="H291" i="3"/>
  <c r="I291" i="3"/>
  <c r="J291" i="3" s="1"/>
  <c r="I290" i="2"/>
  <c r="J290" i="2" s="1"/>
  <c r="H290" i="2"/>
  <c r="G290" i="2"/>
  <c r="G292" i="3" l="1"/>
  <c r="H292" i="3"/>
  <c r="I292" i="3"/>
  <c r="J292" i="3" s="1"/>
  <c r="G291" i="2"/>
  <c r="H291" i="2"/>
  <c r="I291" i="2"/>
  <c r="J291" i="2" s="1"/>
  <c r="G293" i="3" l="1"/>
  <c r="H293" i="3"/>
  <c r="I293" i="3"/>
  <c r="J293" i="3" s="1"/>
  <c r="I292" i="2"/>
  <c r="J292" i="2" s="1"/>
  <c r="G292" i="2"/>
  <c r="H292" i="2"/>
  <c r="G294" i="3" l="1"/>
  <c r="H294" i="3"/>
  <c r="I294" i="3"/>
  <c r="J294" i="3" s="1"/>
  <c r="I293" i="2"/>
  <c r="J293" i="2" s="1"/>
  <c r="G293" i="2"/>
  <c r="H293" i="2"/>
  <c r="G295" i="3" l="1"/>
  <c r="H295" i="3"/>
  <c r="I295" i="3"/>
  <c r="J295" i="3" s="1"/>
  <c r="H294" i="2"/>
  <c r="G294" i="2"/>
  <c r="I294" i="2"/>
  <c r="J294" i="2" s="1"/>
  <c r="G296" i="3" l="1"/>
  <c r="H296" i="3"/>
  <c r="I296" i="3"/>
  <c r="J296" i="3" s="1"/>
  <c r="I295" i="2"/>
  <c r="J295" i="2" s="1"/>
  <c r="G295" i="2"/>
  <c r="H295" i="2"/>
  <c r="G297" i="3" l="1"/>
  <c r="H297" i="3"/>
  <c r="I297" i="3"/>
  <c r="J297" i="3" s="1"/>
  <c r="H296" i="2"/>
  <c r="G296" i="2"/>
  <c r="I296" i="2"/>
  <c r="J296" i="2" s="1"/>
  <c r="G298" i="3" l="1"/>
  <c r="H298" i="3"/>
  <c r="I298" i="3"/>
  <c r="J298" i="3" s="1"/>
  <c r="G297" i="2"/>
  <c r="I297" i="2"/>
  <c r="J297" i="2" s="1"/>
  <c r="H297" i="2"/>
  <c r="G299" i="3" l="1"/>
  <c r="H299" i="3"/>
  <c r="I299" i="3"/>
  <c r="J299" i="3" s="1"/>
  <c r="H298" i="2"/>
  <c r="G298" i="2"/>
  <c r="I298" i="2"/>
  <c r="J298" i="2" s="1"/>
  <c r="G300" i="3" l="1"/>
  <c r="H300" i="3"/>
  <c r="I300" i="3"/>
  <c r="J300" i="3" s="1"/>
  <c r="G299" i="2"/>
  <c r="I299" i="2"/>
  <c r="J299" i="2" s="1"/>
  <c r="H299" i="2"/>
  <c r="G301" i="3" l="1"/>
  <c r="H301" i="3"/>
  <c r="I301" i="3"/>
  <c r="J301" i="3" s="1"/>
  <c r="G300" i="2"/>
  <c r="I300" i="2"/>
  <c r="J300" i="2" s="1"/>
  <c r="H300" i="2"/>
  <c r="G302" i="3" l="1"/>
  <c r="H302" i="3"/>
  <c r="I302" i="3"/>
  <c r="J302" i="3" s="1"/>
  <c r="I301" i="2"/>
  <c r="J301" i="2" s="1"/>
  <c r="G301" i="2"/>
  <c r="H301" i="2"/>
  <c r="G303" i="3" l="1"/>
  <c r="H303" i="3"/>
  <c r="I303" i="3"/>
  <c r="J303" i="3" s="1"/>
  <c r="I302" i="2"/>
  <c r="J302" i="2" s="1"/>
  <c r="G302" i="2"/>
  <c r="H302" i="2"/>
  <c r="G304" i="3" l="1"/>
  <c r="H304" i="3"/>
  <c r="I304" i="3"/>
  <c r="J304" i="3" s="1"/>
  <c r="I303" i="2"/>
  <c r="J303" i="2" s="1"/>
  <c r="G303" i="2"/>
  <c r="H303" i="2"/>
  <c r="G305" i="3" l="1"/>
  <c r="H305" i="3"/>
  <c r="I305" i="3"/>
  <c r="J305" i="3" s="1"/>
  <c r="H304" i="2"/>
  <c r="G304" i="2"/>
  <c r="I304" i="2"/>
  <c r="J304" i="2" s="1"/>
  <c r="G306" i="3" l="1"/>
  <c r="H306" i="3"/>
  <c r="I306" i="3"/>
  <c r="J306" i="3" s="1"/>
  <c r="I305" i="2"/>
  <c r="J305" i="2" s="1"/>
  <c r="H305" i="2"/>
  <c r="G305" i="2"/>
  <c r="G307" i="3" l="1"/>
  <c r="H307" i="3"/>
  <c r="I307" i="3"/>
  <c r="J307" i="3" s="1"/>
  <c r="I306" i="2"/>
  <c r="J306" i="2" s="1"/>
  <c r="H306" i="2"/>
  <c r="G306" i="2"/>
  <c r="G308" i="3" l="1"/>
  <c r="H308" i="3"/>
  <c r="I308" i="3"/>
  <c r="J308" i="3" s="1"/>
  <c r="G307" i="2"/>
  <c r="I307" i="2"/>
  <c r="J307" i="2" s="1"/>
  <c r="H307" i="2"/>
  <c r="G309" i="3" l="1"/>
  <c r="H309" i="3"/>
  <c r="I309" i="3"/>
  <c r="J309" i="3" s="1"/>
  <c r="I308" i="2"/>
  <c r="J308" i="2" s="1"/>
  <c r="H308" i="2"/>
  <c r="G308" i="2"/>
  <c r="G310" i="3" l="1"/>
  <c r="H310" i="3"/>
  <c r="I310" i="3"/>
  <c r="J310" i="3" s="1"/>
  <c r="I309" i="2"/>
  <c r="J309" i="2" s="1"/>
  <c r="H309" i="2"/>
  <c r="G309" i="2"/>
  <c r="G311" i="3" l="1"/>
  <c r="H311" i="3"/>
  <c r="I311" i="3"/>
  <c r="J311" i="3" s="1"/>
  <c r="H310" i="2"/>
  <c r="I310" i="2"/>
  <c r="J310" i="2" s="1"/>
  <c r="G310" i="2"/>
  <c r="G312" i="3" l="1"/>
  <c r="H312" i="3"/>
  <c r="I312" i="3"/>
  <c r="J312" i="3" s="1"/>
  <c r="I311" i="2"/>
  <c r="J311" i="2" s="1"/>
  <c r="G311" i="2"/>
  <c r="H311" i="2"/>
  <c r="G313" i="3" l="1"/>
  <c r="H313" i="3"/>
  <c r="I313" i="3"/>
  <c r="J313" i="3" s="1"/>
  <c r="H312" i="2"/>
  <c r="I312" i="2"/>
  <c r="J312" i="2" s="1"/>
  <c r="G312" i="2"/>
  <c r="G314" i="3" l="1"/>
  <c r="H314" i="3"/>
  <c r="I314" i="3"/>
  <c r="J314" i="3" s="1"/>
  <c r="I313" i="2"/>
  <c r="J313" i="2" s="1"/>
  <c r="H313" i="2"/>
  <c r="G313" i="2"/>
  <c r="G315" i="3" l="1"/>
  <c r="H315" i="3"/>
  <c r="I315" i="3"/>
  <c r="J315" i="3" s="1"/>
  <c r="I314" i="2"/>
  <c r="J314" i="2" s="1"/>
  <c r="G314" i="2"/>
  <c r="H314" i="2"/>
  <c r="G316" i="3" l="1"/>
  <c r="H316" i="3"/>
  <c r="I316" i="3"/>
  <c r="J316" i="3" s="1"/>
  <c r="G315" i="2"/>
  <c r="I315" i="2"/>
  <c r="J315" i="2" s="1"/>
  <c r="H315" i="2"/>
  <c r="G317" i="3" l="1"/>
  <c r="H317" i="3"/>
  <c r="I317" i="3"/>
  <c r="J317" i="3" s="1"/>
  <c r="I316" i="2"/>
  <c r="J316" i="2" s="1"/>
  <c r="G316" i="2"/>
  <c r="H316" i="2"/>
  <c r="G318" i="3" l="1"/>
  <c r="H318" i="3"/>
  <c r="I318" i="3"/>
  <c r="J318" i="3" s="1"/>
  <c r="I317" i="2"/>
  <c r="J317" i="2" s="1"/>
  <c r="H317" i="2"/>
  <c r="G317" i="2"/>
  <c r="G319" i="3" l="1"/>
  <c r="H319" i="3"/>
  <c r="I319" i="3"/>
  <c r="J319" i="3" s="1"/>
  <c r="I318" i="2"/>
  <c r="J318" i="2" s="1"/>
  <c r="G318" i="2"/>
  <c r="H318" i="2"/>
  <c r="G320" i="3" l="1"/>
  <c r="H320" i="3"/>
  <c r="I320" i="3"/>
  <c r="J320" i="3" s="1"/>
  <c r="I319" i="2"/>
  <c r="J319" i="2" s="1"/>
  <c r="H319" i="2"/>
  <c r="G319" i="2"/>
  <c r="G321" i="3" l="1"/>
  <c r="H321" i="3"/>
  <c r="I321" i="3"/>
  <c r="J321" i="3" s="1"/>
  <c r="H320" i="2"/>
  <c r="I320" i="2"/>
  <c r="J320" i="2" s="1"/>
  <c r="G320" i="2"/>
  <c r="G322" i="3" l="1"/>
  <c r="H322" i="3"/>
  <c r="I322" i="3"/>
  <c r="J322" i="3" s="1"/>
  <c r="I321" i="2"/>
  <c r="J321" i="2" s="1"/>
  <c r="G321" i="2"/>
  <c r="H321" i="2"/>
  <c r="G323" i="3" l="1"/>
  <c r="H323" i="3"/>
  <c r="I323" i="3"/>
  <c r="J323" i="3" s="1"/>
  <c r="H322" i="2"/>
  <c r="I322" i="2"/>
  <c r="J322" i="2" s="1"/>
  <c r="G322" i="2"/>
  <c r="G324" i="3" l="1"/>
  <c r="H324" i="3"/>
  <c r="I324" i="3"/>
  <c r="J324" i="3" s="1"/>
  <c r="G323" i="2"/>
  <c r="I323" i="2"/>
  <c r="J323" i="2" s="1"/>
  <c r="H323" i="2"/>
  <c r="G325" i="3" l="1"/>
  <c r="H325" i="3"/>
  <c r="I325" i="3"/>
  <c r="J325" i="3" s="1"/>
  <c r="I324" i="2"/>
  <c r="J324" i="2" s="1"/>
  <c r="G324" i="2"/>
  <c r="H324" i="2"/>
  <c r="G326" i="3" l="1"/>
  <c r="H326" i="3"/>
  <c r="I326" i="3"/>
  <c r="J326" i="3" s="1"/>
  <c r="I325" i="2"/>
  <c r="J325" i="2" s="1"/>
  <c r="H325" i="2"/>
  <c r="G325" i="2"/>
  <c r="G327" i="3" l="1"/>
  <c r="H327" i="3"/>
  <c r="I327" i="3"/>
  <c r="J327" i="3" s="1"/>
  <c r="H326" i="2"/>
  <c r="G326" i="2"/>
  <c r="I326" i="2"/>
  <c r="J326" i="2" s="1"/>
  <c r="G328" i="3" l="1"/>
  <c r="H328" i="3"/>
  <c r="I328" i="3"/>
  <c r="J328" i="3" s="1"/>
  <c r="I327" i="2"/>
  <c r="J327" i="2" s="1"/>
  <c r="H327" i="2"/>
  <c r="G327" i="2"/>
  <c r="G329" i="3" l="1"/>
  <c r="H329" i="3"/>
  <c r="I329" i="3"/>
  <c r="J329" i="3" s="1"/>
  <c r="H328" i="2"/>
  <c r="G328" i="2"/>
  <c r="I328" i="2"/>
  <c r="J328" i="2" s="1"/>
  <c r="G330" i="3" l="1"/>
  <c r="H330" i="3"/>
  <c r="I330" i="3"/>
  <c r="J330" i="3" s="1"/>
  <c r="I329" i="2"/>
  <c r="J329" i="2" s="1"/>
  <c r="H329" i="2"/>
  <c r="G329" i="2"/>
  <c r="G331" i="3" l="1"/>
  <c r="H331" i="3"/>
  <c r="I331" i="3"/>
  <c r="J331" i="3" s="1"/>
  <c r="I330" i="2"/>
  <c r="J330" i="2" s="1"/>
  <c r="H330" i="2"/>
  <c r="G330" i="2"/>
  <c r="G332" i="3" l="1"/>
  <c r="H332" i="3"/>
  <c r="I332" i="3"/>
  <c r="J332" i="3" s="1"/>
  <c r="G331" i="2"/>
  <c r="I331" i="2"/>
  <c r="J331" i="2" s="1"/>
  <c r="H331" i="2"/>
  <c r="G333" i="3" l="1"/>
  <c r="H333" i="3"/>
  <c r="I333" i="3"/>
  <c r="J333" i="3" s="1"/>
  <c r="I332" i="2"/>
  <c r="J332" i="2" s="1"/>
  <c r="H332" i="2"/>
  <c r="G332" i="2"/>
  <c r="G334" i="3" l="1"/>
  <c r="H334" i="3"/>
  <c r="I334" i="3"/>
  <c r="J334" i="3" s="1"/>
  <c r="I333" i="2"/>
  <c r="J333" i="2" s="1"/>
  <c r="H333" i="2"/>
  <c r="G333" i="2"/>
  <c r="G335" i="3" l="1"/>
  <c r="H335" i="3"/>
  <c r="I335" i="3"/>
  <c r="J335" i="3" s="1"/>
  <c r="H334" i="2"/>
  <c r="I334" i="2"/>
  <c r="J334" i="2" s="1"/>
  <c r="G334" i="2"/>
  <c r="G336" i="3" l="1"/>
  <c r="H336" i="3"/>
  <c r="I336" i="3"/>
  <c r="J336" i="3" s="1"/>
  <c r="I335" i="2"/>
  <c r="J335" i="2" s="1"/>
  <c r="H335" i="2"/>
  <c r="G335" i="2"/>
  <c r="G337" i="3" l="1"/>
  <c r="H337" i="3"/>
  <c r="I337" i="3"/>
  <c r="J337" i="3" s="1"/>
  <c r="H336" i="2"/>
  <c r="G336" i="2"/>
  <c r="I336" i="2"/>
  <c r="J336" i="2" s="1"/>
  <c r="G338" i="3" l="1"/>
  <c r="H338" i="3"/>
  <c r="I338" i="3"/>
  <c r="J338" i="3" s="1"/>
  <c r="I337" i="2"/>
  <c r="J337" i="2" s="1"/>
  <c r="H337" i="2"/>
  <c r="G337" i="2"/>
  <c r="G339" i="3" l="1"/>
  <c r="H339" i="3"/>
  <c r="I339" i="3"/>
  <c r="J339" i="3" s="1"/>
  <c r="I338" i="2"/>
  <c r="J338" i="2" s="1"/>
  <c r="H338" i="2"/>
  <c r="G338" i="2"/>
  <c r="G340" i="3" l="1"/>
  <c r="H340" i="3"/>
  <c r="I340" i="3"/>
  <c r="J340" i="3" s="1"/>
  <c r="G339" i="2"/>
  <c r="I339" i="2"/>
  <c r="J339" i="2" s="1"/>
  <c r="H339" i="2"/>
  <c r="G341" i="3" l="1"/>
  <c r="H341" i="3"/>
  <c r="I341" i="3"/>
  <c r="J341" i="3" s="1"/>
  <c r="I340" i="2"/>
  <c r="J340" i="2" s="1"/>
  <c r="H340" i="2"/>
  <c r="G340" i="2"/>
  <c r="G342" i="3" l="1"/>
  <c r="H342" i="3"/>
  <c r="I342" i="3"/>
  <c r="J342" i="3" s="1"/>
  <c r="I341" i="2"/>
  <c r="J341" i="2" s="1"/>
  <c r="H341" i="2"/>
  <c r="G341" i="2"/>
  <c r="G343" i="3" l="1"/>
  <c r="H343" i="3"/>
  <c r="I343" i="3"/>
  <c r="J343" i="3" s="1"/>
  <c r="H342" i="2"/>
  <c r="I342" i="2"/>
  <c r="J342" i="2" s="1"/>
  <c r="G342" i="2"/>
  <c r="G344" i="3" l="1"/>
  <c r="H344" i="3"/>
  <c r="I344" i="3"/>
  <c r="J344" i="3" s="1"/>
  <c r="I343" i="2"/>
  <c r="J343" i="2" s="1"/>
  <c r="H343" i="2"/>
  <c r="G343" i="2"/>
  <c r="G345" i="3" l="1"/>
  <c r="H345" i="3"/>
  <c r="I345" i="3"/>
  <c r="J345" i="3" s="1"/>
  <c r="H344" i="2"/>
  <c r="G344" i="2"/>
  <c r="I344" i="2"/>
  <c r="J344" i="2" s="1"/>
  <c r="G346" i="3" l="1"/>
  <c r="H346" i="3"/>
  <c r="I346" i="3"/>
  <c r="J346" i="3" s="1"/>
  <c r="I345" i="2"/>
  <c r="J345" i="2" s="1"/>
  <c r="H345" i="2"/>
  <c r="G345" i="2"/>
  <c r="G347" i="3" l="1"/>
  <c r="H347" i="3"/>
  <c r="I347" i="3"/>
  <c r="J347" i="3" s="1"/>
  <c r="I346" i="2"/>
  <c r="J346" i="2" s="1"/>
  <c r="H346" i="2"/>
  <c r="G346" i="2"/>
  <c r="G348" i="3" l="1"/>
  <c r="H348" i="3"/>
  <c r="I348" i="3"/>
  <c r="J348" i="3" s="1"/>
  <c r="G347" i="2"/>
  <c r="I347" i="2"/>
  <c r="J347" i="2" s="1"/>
  <c r="H347" i="2"/>
  <c r="G349" i="3" l="1"/>
  <c r="H349" i="3"/>
  <c r="I349" i="3"/>
  <c r="J349" i="3" s="1"/>
  <c r="I348" i="2"/>
  <c r="J348" i="2" s="1"/>
  <c r="H348" i="2"/>
  <c r="G348" i="2"/>
  <c r="G350" i="3" l="1"/>
  <c r="H350" i="3"/>
  <c r="I350" i="3"/>
  <c r="J350" i="3" s="1"/>
  <c r="I349" i="2"/>
  <c r="J349" i="2" s="1"/>
  <c r="H349" i="2"/>
  <c r="G349" i="2"/>
  <c r="G351" i="3" l="1"/>
  <c r="H351" i="3"/>
  <c r="I351" i="3"/>
  <c r="J351" i="3" s="1"/>
  <c r="H350" i="2"/>
  <c r="I350" i="2"/>
  <c r="J350" i="2" s="1"/>
  <c r="G350" i="2"/>
  <c r="G352" i="3" l="1"/>
  <c r="H352" i="3"/>
  <c r="I352" i="3"/>
  <c r="J352" i="3" s="1"/>
  <c r="I351" i="2"/>
  <c r="J351" i="2" s="1"/>
  <c r="H351" i="2"/>
  <c r="G351" i="2"/>
  <c r="G353" i="3" l="1"/>
  <c r="H353" i="3"/>
  <c r="I353" i="3"/>
  <c r="J353" i="3" s="1"/>
  <c r="H352" i="2"/>
  <c r="G352" i="2"/>
  <c r="I352" i="2"/>
  <c r="J352" i="2" s="1"/>
  <c r="G354" i="3" l="1"/>
  <c r="H354" i="3"/>
  <c r="I354" i="3"/>
  <c r="J354" i="3" s="1"/>
  <c r="G353" i="2"/>
  <c r="I353" i="2"/>
  <c r="J353" i="2" s="1"/>
  <c r="H353" i="2"/>
  <c r="G355" i="3" l="1"/>
  <c r="H355" i="3"/>
  <c r="I355" i="3"/>
  <c r="J355" i="3" s="1"/>
  <c r="I354" i="2"/>
  <c r="J354" i="2" s="1"/>
  <c r="H354" i="2"/>
  <c r="G354" i="2"/>
  <c r="G356" i="3" l="1"/>
  <c r="H356" i="3"/>
  <c r="I356" i="3"/>
  <c r="J356" i="3" s="1"/>
  <c r="G355" i="2"/>
  <c r="H355" i="2"/>
  <c r="I355" i="2"/>
  <c r="J355" i="2" s="1"/>
  <c r="G357" i="3" l="1"/>
  <c r="I357" i="3"/>
  <c r="J357" i="3" s="1"/>
  <c r="H357" i="3"/>
  <c r="I356" i="2"/>
  <c r="J356" i="2" s="1"/>
  <c r="H356" i="2"/>
  <c r="G356" i="2"/>
  <c r="G358" i="3" l="1"/>
  <c r="H358" i="3"/>
  <c r="I358" i="3"/>
  <c r="J358" i="3" s="1"/>
  <c r="I357" i="2"/>
  <c r="J357" i="2" s="1"/>
  <c r="H357" i="2"/>
  <c r="G357" i="2"/>
  <c r="H359" i="3" l="1"/>
  <c r="G359" i="3"/>
  <c r="I359" i="3"/>
  <c r="J359" i="3" s="1"/>
  <c r="H358" i="2"/>
  <c r="I358" i="2"/>
  <c r="J358" i="2" s="1"/>
  <c r="G358" i="2"/>
  <c r="G360" i="3" l="1"/>
  <c r="H360" i="3"/>
  <c r="I360" i="3"/>
  <c r="J360" i="3" s="1"/>
  <c r="I359" i="2"/>
  <c r="J359" i="2" s="1"/>
  <c r="H359" i="2"/>
  <c r="G359" i="2"/>
  <c r="H361" i="3" l="1"/>
  <c r="G361" i="3"/>
  <c r="I361" i="3"/>
  <c r="J361" i="3" s="1"/>
  <c r="H360" i="2"/>
  <c r="G360" i="2"/>
  <c r="I360" i="2"/>
  <c r="J360" i="2" s="1"/>
  <c r="G362" i="3" l="1"/>
  <c r="H362" i="3"/>
  <c r="I362" i="3"/>
  <c r="J362" i="3" s="1"/>
  <c r="I361" i="2"/>
  <c r="J361" i="2" s="1"/>
  <c r="H361" i="2"/>
  <c r="G361" i="2"/>
  <c r="H363" i="3" l="1"/>
  <c r="G363" i="3"/>
  <c r="I363" i="3"/>
  <c r="J363" i="3" s="1"/>
  <c r="I362" i="2"/>
  <c r="J362" i="2" s="1"/>
  <c r="H362" i="2"/>
  <c r="G362" i="2"/>
  <c r="G364" i="3" l="1"/>
  <c r="I364" i="3"/>
  <c r="J364" i="3" s="1"/>
  <c r="H364" i="3"/>
  <c r="G363" i="2"/>
  <c r="H363" i="2"/>
  <c r="I363" i="2"/>
  <c r="J363" i="2" s="1"/>
  <c r="G365" i="3" l="1"/>
  <c r="I365" i="3"/>
  <c r="J365" i="3" s="1"/>
  <c r="H365" i="3"/>
  <c r="I364" i="2"/>
  <c r="J364" i="2" s="1"/>
  <c r="H364" i="2"/>
  <c r="G364" i="2"/>
  <c r="G366" i="3" l="1"/>
  <c r="I366" i="3"/>
  <c r="J366" i="3" s="1"/>
  <c r="H366" i="3"/>
  <c r="I365" i="2"/>
  <c r="J365" i="2" s="1"/>
  <c r="H365" i="2"/>
  <c r="G365" i="2"/>
  <c r="G367" i="3" l="1"/>
  <c r="I367" i="3"/>
  <c r="J367" i="3" s="1"/>
  <c r="H367" i="3"/>
  <c r="H366" i="2"/>
  <c r="I366" i="2"/>
  <c r="J366" i="2" s="1"/>
  <c r="G366" i="2"/>
  <c r="G368" i="3" l="1"/>
  <c r="I368" i="3"/>
  <c r="J368" i="3" s="1"/>
  <c r="H368" i="3"/>
  <c r="I367" i="2"/>
  <c r="J367" i="2" s="1"/>
  <c r="H367" i="2"/>
  <c r="G367" i="2"/>
  <c r="G369" i="3" l="1"/>
  <c r="I369" i="3"/>
  <c r="J369" i="3" s="1"/>
  <c r="H369" i="3"/>
  <c r="G368" i="2"/>
  <c r="I368" i="2"/>
  <c r="J368" i="2" s="1"/>
  <c r="H368" i="2"/>
  <c r="G370" i="3" l="1"/>
  <c r="I370" i="3"/>
  <c r="J370" i="3" s="1"/>
  <c r="H370" i="3"/>
  <c r="H369" i="2"/>
  <c r="G369" i="2"/>
  <c r="I369" i="2"/>
  <c r="J369" i="2" s="1"/>
  <c r="G371" i="3" l="1"/>
  <c r="I371" i="3"/>
  <c r="J371" i="3" s="1"/>
  <c r="H371" i="3"/>
  <c r="I370" i="2"/>
  <c r="J370" i="2" s="1"/>
  <c r="G370" i="2"/>
  <c r="H370" i="2"/>
  <c r="G372" i="3" l="1"/>
  <c r="I372" i="3"/>
  <c r="J372" i="3" s="1"/>
  <c r="H372" i="3"/>
  <c r="G371" i="2"/>
  <c r="H371" i="2"/>
  <c r="I371" i="2"/>
  <c r="J371" i="2" s="1"/>
  <c r="G373" i="3" l="1"/>
  <c r="I373" i="3"/>
  <c r="J373" i="3" s="1"/>
  <c r="H373" i="3"/>
  <c r="I372" i="2"/>
  <c r="J372" i="2" s="1"/>
  <c r="G372" i="2"/>
  <c r="H372" i="2"/>
  <c r="G374" i="3" l="1"/>
  <c r="H374" i="3"/>
  <c r="I374" i="3"/>
  <c r="J374" i="3" s="1"/>
  <c r="I373" i="2"/>
  <c r="J373" i="2" s="1"/>
  <c r="G373" i="2"/>
  <c r="H373" i="2"/>
  <c r="H375" i="3" l="1"/>
  <c r="G375" i="3"/>
  <c r="I375" i="3"/>
  <c r="J375" i="3" s="1"/>
  <c r="H374" i="2"/>
  <c r="I374" i="2"/>
  <c r="J374" i="2" s="1"/>
  <c r="G374" i="2"/>
  <c r="G376" i="3" l="1"/>
  <c r="I376" i="3"/>
  <c r="J376" i="3" s="1"/>
  <c r="H376" i="3"/>
  <c r="G375" i="2"/>
  <c r="I375" i="2"/>
  <c r="J375" i="2" s="1"/>
  <c r="H375" i="2"/>
  <c r="G377" i="3" l="1"/>
  <c r="I377" i="3"/>
  <c r="J377" i="3" s="1"/>
  <c r="H377" i="3"/>
  <c r="I376" i="2"/>
  <c r="J376" i="2" s="1"/>
  <c r="H376" i="2"/>
  <c r="G376" i="2"/>
  <c r="G378" i="3" l="1"/>
  <c r="I378" i="3"/>
  <c r="J378" i="3" s="1"/>
  <c r="H378" i="3"/>
  <c r="I377" i="2"/>
  <c r="J377" i="2" s="1"/>
  <c r="H377" i="2"/>
  <c r="G377" i="2"/>
  <c r="G379" i="3" l="1"/>
  <c r="I379" i="3"/>
  <c r="J379" i="3" s="1"/>
  <c r="H379" i="3"/>
  <c r="G378" i="2"/>
  <c r="I378" i="2"/>
  <c r="J378" i="2" s="1"/>
  <c r="H378" i="2"/>
  <c r="G380" i="3" l="1"/>
  <c r="H380" i="3"/>
  <c r="I380" i="3"/>
  <c r="J380" i="3" s="1"/>
  <c r="G379" i="2"/>
  <c r="I379" i="2"/>
  <c r="J379" i="2" s="1"/>
  <c r="H379" i="2"/>
  <c r="H381" i="3" l="1"/>
  <c r="G381" i="3"/>
  <c r="I381" i="3"/>
  <c r="J381" i="3" s="1"/>
  <c r="G380" i="2"/>
  <c r="H380" i="2"/>
  <c r="I380" i="2"/>
  <c r="J380" i="2" s="1"/>
  <c r="G382" i="3" l="1"/>
  <c r="I382" i="3"/>
  <c r="J382" i="3" s="1"/>
  <c r="H382" i="3"/>
  <c r="G381" i="2"/>
  <c r="I381" i="2"/>
  <c r="J381" i="2" s="1"/>
  <c r="H381" i="2"/>
  <c r="G383" i="3" l="1"/>
  <c r="I383" i="3"/>
  <c r="J383" i="3" s="1"/>
  <c r="H383" i="3"/>
  <c r="I382" i="2"/>
  <c r="J382" i="2" s="1"/>
  <c r="H382" i="2"/>
  <c r="G382" i="2"/>
  <c r="G384" i="3" l="1"/>
  <c r="I384" i="3"/>
  <c r="J384" i="3" s="1"/>
  <c r="H384" i="3"/>
  <c r="H383" i="2"/>
  <c r="G383" i="2"/>
  <c r="I383" i="2"/>
  <c r="J383" i="2" s="1"/>
  <c r="G385" i="3" l="1"/>
  <c r="I385" i="3"/>
  <c r="J385" i="3" s="1"/>
  <c r="H385" i="3"/>
  <c r="H384" i="2"/>
  <c r="G384" i="2"/>
  <c r="I384" i="2"/>
  <c r="J384" i="2" s="1"/>
  <c r="G386" i="3" l="1"/>
  <c r="H386" i="3"/>
  <c r="I386" i="3"/>
  <c r="J386" i="3" s="1"/>
  <c r="H385" i="2"/>
  <c r="G385" i="2"/>
  <c r="I385" i="2"/>
  <c r="J385" i="2" s="1"/>
  <c r="H387" i="3" l="1"/>
  <c r="G387" i="3"/>
  <c r="I387" i="3"/>
  <c r="J387" i="3" s="1"/>
  <c r="G386" i="2"/>
  <c r="I386" i="2"/>
  <c r="J386" i="2" s="1"/>
  <c r="H386" i="2"/>
  <c r="H388" i="3" l="1"/>
  <c r="G388" i="3"/>
  <c r="I388" i="3"/>
  <c r="J388" i="3" s="1"/>
  <c r="G387" i="2"/>
  <c r="I387" i="2"/>
  <c r="J387" i="2" s="1"/>
  <c r="H387" i="2"/>
  <c r="G389" i="3" l="1"/>
  <c r="I389" i="3"/>
  <c r="J389" i="3" s="1"/>
  <c r="H389" i="3"/>
  <c r="G388" i="2"/>
  <c r="I388" i="2"/>
  <c r="J388" i="2" s="1"/>
  <c r="H388" i="2"/>
  <c r="G390" i="3" l="1"/>
  <c r="I390" i="3"/>
  <c r="J390" i="3" s="1"/>
  <c r="H390" i="3"/>
  <c r="G389" i="2"/>
  <c r="I389" i="2"/>
  <c r="J389" i="2" s="1"/>
  <c r="H389" i="2"/>
  <c r="G391" i="3" l="1"/>
  <c r="I391" i="3"/>
  <c r="J391" i="3" s="1"/>
  <c r="H391" i="3"/>
  <c r="I390" i="2"/>
  <c r="J390" i="2" s="1"/>
  <c r="G390" i="2"/>
  <c r="H390" i="2"/>
  <c r="G392" i="3" l="1"/>
  <c r="I392" i="3"/>
  <c r="J392" i="3" s="1"/>
  <c r="H392" i="3"/>
  <c r="H391" i="2"/>
  <c r="I391" i="2"/>
  <c r="J391" i="2" s="1"/>
  <c r="G391" i="2"/>
  <c r="G393" i="3" l="1"/>
  <c r="I393" i="3"/>
  <c r="J393" i="3" s="1"/>
  <c r="H393" i="3"/>
  <c r="H392" i="2"/>
  <c r="I392" i="2"/>
  <c r="J392" i="2" s="1"/>
  <c r="G392" i="2"/>
  <c r="G394" i="3" l="1"/>
  <c r="H394" i="3"/>
  <c r="I394" i="3"/>
  <c r="J394" i="3" s="1"/>
  <c r="H393" i="2"/>
  <c r="G393" i="2"/>
  <c r="I393" i="2"/>
  <c r="J393" i="2" s="1"/>
  <c r="G395" i="3" l="1"/>
  <c r="H395" i="3"/>
  <c r="I395" i="3"/>
  <c r="J395" i="3" s="1"/>
  <c r="G394" i="2"/>
  <c r="H394" i="2"/>
  <c r="I394" i="2"/>
  <c r="J394" i="2" s="1"/>
  <c r="G396" i="3" l="1"/>
  <c r="H396" i="3"/>
  <c r="I396" i="3"/>
  <c r="J396" i="3" s="1"/>
  <c r="G395" i="2"/>
  <c r="H395" i="2"/>
  <c r="I395" i="2"/>
  <c r="J395" i="2" s="1"/>
  <c r="G397" i="3" l="1"/>
  <c r="H397" i="3"/>
  <c r="I397" i="3"/>
  <c r="J397" i="3" s="1"/>
  <c r="G396" i="2"/>
  <c r="I396" i="2"/>
  <c r="J396" i="2" s="1"/>
  <c r="H396" i="2"/>
  <c r="G398" i="3" l="1"/>
  <c r="H398" i="3"/>
  <c r="I398" i="3"/>
  <c r="J398" i="3" s="1"/>
  <c r="G397" i="2"/>
  <c r="I397" i="2"/>
  <c r="J397" i="2" s="1"/>
  <c r="H397" i="2"/>
  <c r="G399" i="3" l="1"/>
  <c r="H399" i="3"/>
  <c r="I399" i="3"/>
  <c r="J399" i="3" s="1"/>
  <c r="I398" i="2"/>
  <c r="J398" i="2" s="1"/>
  <c r="G398" i="2"/>
  <c r="H398" i="2"/>
  <c r="G400" i="3" l="1"/>
  <c r="H400" i="3"/>
  <c r="I400" i="3"/>
  <c r="J400" i="3" s="1"/>
  <c r="H399" i="2"/>
  <c r="I399" i="2"/>
  <c r="J399" i="2" s="1"/>
  <c r="G399" i="2"/>
  <c r="G401" i="3" l="1"/>
  <c r="H401" i="3"/>
  <c r="I401" i="3"/>
  <c r="J401" i="3" s="1"/>
  <c r="H400" i="2"/>
  <c r="G400" i="2"/>
  <c r="I400" i="2"/>
  <c r="J400" i="2" s="1"/>
  <c r="G402" i="3" l="1"/>
  <c r="H402" i="3"/>
  <c r="I402" i="3"/>
  <c r="J402" i="3" s="1"/>
  <c r="H401" i="2"/>
  <c r="G401" i="2"/>
  <c r="I401" i="2"/>
  <c r="J401" i="2" s="1"/>
  <c r="G403" i="3" l="1"/>
  <c r="H403" i="3"/>
  <c r="I403" i="3"/>
  <c r="J403" i="3" s="1"/>
  <c r="G402" i="2"/>
  <c r="H402" i="2"/>
  <c r="I402" i="2"/>
  <c r="J402" i="2" s="1"/>
  <c r="G404" i="3" l="1"/>
  <c r="H404" i="3"/>
  <c r="I404" i="3"/>
  <c r="J404" i="3" s="1"/>
  <c r="G403" i="2"/>
  <c r="H403" i="2"/>
  <c r="I403" i="2"/>
  <c r="J403" i="2" s="1"/>
  <c r="G405" i="3" l="1"/>
  <c r="H405" i="3"/>
  <c r="I405" i="3"/>
  <c r="J405" i="3" s="1"/>
  <c r="G404" i="2"/>
  <c r="I404" i="2"/>
  <c r="J404" i="2" s="1"/>
  <c r="H404" i="2"/>
  <c r="G406" i="3" l="1"/>
  <c r="H406" i="3"/>
  <c r="I406" i="3"/>
  <c r="J406" i="3" s="1"/>
  <c r="G405" i="2"/>
  <c r="I405" i="2"/>
  <c r="J405" i="2" s="1"/>
  <c r="H405" i="2"/>
  <c r="G407" i="3" l="1"/>
  <c r="H407" i="3"/>
  <c r="I407" i="3"/>
  <c r="J407" i="3" s="1"/>
  <c r="I406" i="2"/>
  <c r="J406" i="2" s="1"/>
  <c r="G406" i="2"/>
  <c r="H406" i="2"/>
  <c r="G408" i="3" l="1"/>
  <c r="H408" i="3"/>
  <c r="I408" i="3"/>
  <c r="J408" i="3" s="1"/>
  <c r="H407" i="2"/>
  <c r="I407" i="2"/>
  <c r="J407" i="2" s="1"/>
  <c r="G407" i="2"/>
  <c r="G409" i="3" l="1"/>
  <c r="H409" i="3"/>
  <c r="I409" i="3"/>
  <c r="J409" i="3" s="1"/>
  <c r="H408" i="2"/>
  <c r="I408" i="2"/>
  <c r="J408" i="2" s="1"/>
  <c r="G408" i="2"/>
  <c r="G410" i="3" l="1"/>
  <c r="H410" i="3"/>
  <c r="I410" i="3"/>
  <c r="J410" i="3" s="1"/>
  <c r="H409" i="2"/>
  <c r="G409" i="2"/>
  <c r="I409" i="2"/>
  <c r="J409" i="2" s="1"/>
  <c r="G411" i="3" l="1"/>
  <c r="H411" i="3"/>
  <c r="I411" i="3"/>
  <c r="J411" i="3" s="1"/>
  <c r="G410" i="2"/>
  <c r="H410" i="2"/>
  <c r="I410" i="2"/>
  <c r="J410" i="2" s="1"/>
  <c r="G412" i="3" l="1"/>
  <c r="H412" i="3"/>
  <c r="I412" i="3"/>
  <c r="J412" i="3" s="1"/>
  <c r="G411" i="2"/>
  <c r="H411" i="2"/>
  <c r="I411" i="2"/>
  <c r="J411" i="2" s="1"/>
  <c r="G413" i="3" l="1"/>
  <c r="H413" i="3"/>
  <c r="I413" i="3"/>
  <c r="J413" i="3" s="1"/>
  <c r="G412" i="2"/>
  <c r="I412" i="2"/>
  <c r="J412" i="2" s="1"/>
  <c r="H412" i="2"/>
  <c r="G414" i="3" l="1"/>
  <c r="H414" i="3"/>
  <c r="I414" i="3"/>
  <c r="J414" i="3" s="1"/>
  <c r="G413" i="2"/>
  <c r="I413" i="2"/>
  <c r="J413" i="2" s="1"/>
  <c r="H413" i="2"/>
  <c r="G415" i="3" l="1"/>
  <c r="H415" i="3"/>
  <c r="I415" i="3"/>
  <c r="J415" i="3" s="1"/>
  <c r="I414" i="2"/>
  <c r="J414" i="2" s="1"/>
  <c r="G414" i="2"/>
  <c r="H414" i="2"/>
  <c r="G416" i="3" l="1"/>
  <c r="H416" i="3"/>
  <c r="I416" i="3"/>
  <c r="J416" i="3" s="1"/>
  <c r="H415" i="2"/>
  <c r="I415" i="2"/>
  <c r="J415" i="2" s="1"/>
  <c r="G415" i="2"/>
  <c r="G417" i="3" l="1"/>
  <c r="H417" i="3"/>
  <c r="I417" i="3"/>
  <c r="J417" i="3" s="1"/>
  <c r="H416" i="2"/>
  <c r="G416" i="2"/>
  <c r="I416" i="2"/>
  <c r="J416" i="2" s="1"/>
  <c r="G418" i="3" l="1"/>
  <c r="H418" i="3"/>
  <c r="I418" i="3"/>
  <c r="J418" i="3" s="1"/>
  <c r="H417" i="2"/>
  <c r="G417" i="2"/>
  <c r="I417" i="2"/>
  <c r="J417" i="2" s="1"/>
  <c r="G419" i="3" l="1"/>
  <c r="H419" i="3"/>
  <c r="I419" i="3"/>
  <c r="J419" i="3" s="1"/>
  <c r="G418" i="2"/>
  <c r="H418" i="2"/>
  <c r="I418" i="2"/>
  <c r="J418" i="2" s="1"/>
  <c r="G420" i="3" l="1"/>
  <c r="H420" i="3"/>
  <c r="I420" i="3"/>
  <c r="J420" i="3" s="1"/>
  <c r="G419" i="2"/>
  <c r="H419" i="2"/>
  <c r="I419" i="2"/>
  <c r="J419" i="2" s="1"/>
  <c r="G421" i="3" l="1"/>
  <c r="H421" i="3"/>
  <c r="I421" i="3"/>
  <c r="J421" i="3" s="1"/>
  <c r="G420" i="2"/>
  <c r="H420" i="2"/>
  <c r="I420" i="2"/>
  <c r="J420" i="2" s="1"/>
  <c r="G422" i="3" l="1"/>
  <c r="H422" i="3"/>
  <c r="I422" i="3"/>
  <c r="J422" i="3" s="1"/>
  <c r="G421" i="2"/>
  <c r="I421" i="2"/>
  <c r="J421" i="2" s="1"/>
  <c r="H421" i="2"/>
  <c r="G423" i="3" l="1"/>
  <c r="H423" i="3"/>
  <c r="I423" i="3"/>
  <c r="J423" i="3" s="1"/>
  <c r="I422" i="2"/>
  <c r="J422" i="2" s="1"/>
  <c r="H422" i="2"/>
  <c r="G422" i="2"/>
  <c r="G424" i="3" l="1"/>
  <c r="H424" i="3"/>
  <c r="I424" i="3"/>
  <c r="J424" i="3" s="1"/>
  <c r="H423" i="2"/>
  <c r="G423" i="2"/>
  <c r="I423" i="2"/>
  <c r="J423" i="2" s="1"/>
  <c r="G425" i="3" l="1"/>
  <c r="H425" i="3"/>
  <c r="I425" i="3"/>
  <c r="J425" i="3" s="1"/>
  <c r="H424" i="2"/>
  <c r="I424" i="2"/>
  <c r="J424" i="2" s="1"/>
  <c r="G424" i="2"/>
  <c r="G426" i="3" l="1"/>
  <c r="H426" i="3"/>
  <c r="I426" i="3"/>
  <c r="J426" i="3" s="1"/>
  <c r="H425" i="2"/>
  <c r="I425" i="2"/>
  <c r="J425" i="2" s="1"/>
  <c r="G425" i="2"/>
  <c r="G427" i="3" l="1"/>
  <c r="H427" i="3"/>
  <c r="I427" i="3"/>
  <c r="J427" i="3" s="1"/>
  <c r="G426" i="2"/>
  <c r="H426" i="2"/>
  <c r="I426" i="2"/>
  <c r="J426" i="2" s="1"/>
  <c r="G428" i="3" l="1"/>
  <c r="H428" i="3"/>
  <c r="I428" i="3"/>
  <c r="J428" i="3" s="1"/>
  <c r="G427" i="2"/>
  <c r="H427" i="2"/>
  <c r="I427" i="2"/>
  <c r="J427" i="2" s="1"/>
  <c r="G429" i="3" l="1"/>
  <c r="H429" i="3"/>
  <c r="I429" i="3"/>
  <c r="J429" i="3" s="1"/>
  <c r="G428" i="2"/>
  <c r="I428" i="2"/>
  <c r="J428" i="2" s="1"/>
  <c r="H428" i="2"/>
  <c r="G430" i="3" l="1"/>
  <c r="H430" i="3"/>
  <c r="I430" i="3"/>
  <c r="J430" i="3" s="1"/>
  <c r="G429" i="2"/>
  <c r="H429" i="2"/>
  <c r="I429" i="2"/>
  <c r="J429" i="2" s="1"/>
  <c r="G431" i="3" l="1"/>
  <c r="H431" i="3"/>
  <c r="I431" i="3"/>
  <c r="J431" i="3" s="1"/>
  <c r="I430" i="2"/>
  <c r="J430" i="2" s="1"/>
  <c r="G430" i="2"/>
  <c r="H430" i="2"/>
  <c r="G432" i="3" l="1"/>
  <c r="H432" i="3"/>
  <c r="I432" i="3"/>
  <c r="J432" i="3" s="1"/>
  <c r="H431" i="2"/>
  <c r="I431" i="2"/>
  <c r="J431" i="2" s="1"/>
  <c r="G431" i="2"/>
  <c r="G433" i="3" l="1"/>
  <c r="H433" i="3"/>
  <c r="I433" i="3"/>
  <c r="J433" i="3" s="1"/>
  <c r="H432" i="2"/>
  <c r="G432" i="2"/>
  <c r="I432" i="2"/>
  <c r="J432" i="2" s="1"/>
  <c r="G434" i="3" l="1"/>
  <c r="H434" i="3"/>
  <c r="I434" i="3"/>
  <c r="J434" i="3" s="1"/>
  <c r="H433" i="2"/>
  <c r="G433" i="2"/>
  <c r="I433" i="2"/>
  <c r="J433" i="2" s="1"/>
  <c r="G435" i="3" l="1"/>
  <c r="H435" i="3"/>
  <c r="I435" i="3"/>
  <c r="J435" i="3" s="1"/>
  <c r="G434" i="2"/>
  <c r="H434" i="2"/>
  <c r="I434" i="2"/>
  <c r="J434" i="2" s="1"/>
  <c r="G436" i="3" l="1"/>
  <c r="H436" i="3"/>
  <c r="I436" i="3"/>
  <c r="J436" i="3" s="1"/>
  <c r="G435" i="2"/>
  <c r="H435" i="2"/>
  <c r="I435" i="2"/>
  <c r="J435" i="2" s="1"/>
  <c r="G437" i="3" l="1"/>
  <c r="H437" i="3"/>
  <c r="I437" i="3"/>
  <c r="J437" i="3" s="1"/>
  <c r="G436" i="2"/>
  <c r="H436" i="2"/>
  <c r="I436" i="2"/>
  <c r="J436" i="2" s="1"/>
  <c r="G438" i="3" l="1"/>
  <c r="H438" i="3"/>
  <c r="I438" i="3"/>
  <c r="J438" i="3" s="1"/>
  <c r="G437" i="2"/>
  <c r="I437" i="2"/>
  <c r="J437" i="2" s="1"/>
  <c r="H437" i="2"/>
  <c r="G439" i="3" l="1"/>
  <c r="H439" i="3"/>
  <c r="I439" i="3"/>
  <c r="J439" i="3" s="1"/>
  <c r="I438" i="2"/>
  <c r="J438" i="2" s="1"/>
  <c r="G438" i="2"/>
  <c r="H438" i="2"/>
  <c r="G440" i="3" l="1"/>
  <c r="H440" i="3"/>
  <c r="I440" i="3"/>
  <c r="J440" i="3" s="1"/>
  <c r="H439" i="2"/>
  <c r="I439" i="2"/>
  <c r="J439" i="2" s="1"/>
  <c r="G439" i="2"/>
  <c r="G441" i="3" l="1"/>
  <c r="H441" i="3"/>
  <c r="I441" i="3"/>
  <c r="J441" i="3" s="1"/>
  <c r="H440" i="2"/>
  <c r="I440" i="2"/>
  <c r="J440" i="2" s="1"/>
  <c r="G440" i="2"/>
  <c r="G442" i="3" l="1"/>
  <c r="H442" i="3"/>
  <c r="I442" i="3"/>
  <c r="J442" i="3" s="1"/>
  <c r="H441" i="2"/>
  <c r="G441" i="2"/>
  <c r="I441" i="2"/>
  <c r="J441" i="2" s="1"/>
  <c r="G443" i="3" l="1"/>
  <c r="H443" i="3"/>
  <c r="I443" i="3"/>
  <c r="J443" i="3" s="1"/>
  <c r="G442" i="2"/>
  <c r="H442" i="2"/>
  <c r="I442" i="2"/>
  <c r="J442" i="2" s="1"/>
  <c r="G444" i="3" l="1"/>
  <c r="H444" i="3"/>
  <c r="I444" i="3"/>
  <c r="J444" i="3" s="1"/>
  <c r="G443" i="2"/>
  <c r="H443" i="2"/>
  <c r="I443" i="2"/>
  <c r="J443" i="2" s="1"/>
  <c r="G445" i="3" l="1"/>
  <c r="H445" i="3"/>
  <c r="I445" i="3"/>
  <c r="J445" i="3" s="1"/>
  <c r="G444" i="2"/>
  <c r="I444" i="2"/>
  <c r="J444" i="2" s="1"/>
  <c r="H444" i="2"/>
  <c r="G446" i="3" l="1"/>
  <c r="H446" i="3"/>
  <c r="I446" i="3"/>
  <c r="J446" i="3" s="1"/>
  <c r="G445" i="2"/>
  <c r="I445" i="2"/>
  <c r="J445" i="2" s="1"/>
  <c r="H445" i="2"/>
  <c r="G447" i="3" l="1"/>
  <c r="H447" i="3"/>
  <c r="I447" i="3"/>
  <c r="J447" i="3" s="1"/>
  <c r="I446" i="2"/>
  <c r="J446" i="2" s="1"/>
  <c r="G446" i="2"/>
  <c r="H446" i="2"/>
  <c r="G448" i="3" l="1"/>
  <c r="H448" i="3"/>
  <c r="I448" i="3"/>
  <c r="J448" i="3" s="1"/>
  <c r="H447" i="2"/>
  <c r="I447" i="2"/>
  <c r="J447" i="2" s="1"/>
  <c r="G447" i="2"/>
  <c r="G449" i="3" l="1"/>
  <c r="H449" i="3"/>
  <c r="I449" i="3"/>
  <c r="J449" i="3" s="1"/>
  <c r="H448" i="2"/>
  <c r="G448" i="2"/>
  <c r="I448" i="2"/>
  <c r="J448" i="2" s="1"/>
  <c r="G450" i="3" l="1"/>
  <c r="H450" i="3"/>
  <c r="I450" i="3"/>
  <c r="J450" i="3" s="1"/>
  <c r="H449" i="2"/>
  <c r="G449" i="2"/>
  <c r="I449" i="2"/>
  <c r="J449" i="2" s="1"/>
  <c r="G451" i="3" l="1"/>
  <c r="H451" i="3"/>
  <c r="I451" i="3"/>
  <c r="J451" i="3" s="1"/>
  <c r="G450" i="2"/>
  <c r="H450" i="2"/>
  <c r="I450" i="2"/>
  <c r="J450" i="2" s="1"/>
  <c r="G452" i="3" l="1"/>
  <c r="H452" i="3"/>
  <c r="I452" i="3"/>
  <c r="J452" i="3" s="1"/>
  <c r="G451" i="2"/>
  <c r="H451" i="2"/>
  <c r="I451" i="2"/>
  <c r="J451" i="2" s="1"/>
  <c r="G453" i="3" l="1"/>
  <c r="H453" i="3"/>
  <c r="I453" i="3"/>
  <c r="J453" i="3" s="1"/>
  <c r="G452" i="2"/>
  <c r="I452" i="2"/>
  <c r="J452" i="2" s="1"/>
  <c r="H452" i="2"/>
  <c r="G454" i="3" l="1"/>
  <c r="H454" i="3"/>
  <c r="I454" i="3"/>
  <c r="J454" i="3" s="1"/>
  <c r="G453" i="2"/>
  <c r="I453" i="2"/>
  <c r="J453" i="2" s="1"/>
  <c r="H453" i="2"/>
  <c r="G455" i="3" l="1"/>
  <c r="H455" i="3"/>
  <c r="I455" i="3"/>
  <c r="J455" i="3" s="1"/>
  <c r="I454" i="2"/>
  <c r="J454" i="2" s="1"/>
  <c r="H454" i="2"/>
  <c r="G454" i="2"/>
  <c r="G456" i="3" l="1"/>
  <c r="H456" i="3"/>
  <c r="I456" i="3"/>
  <c r="J456" i="3" s="1"/>
  <c r="H455" i="2"/>
  <c r="I455" i="2"/>
  <c r="J455" i="2" s="1"/>
  <c r="G455" i="2"/>
  <c r="G457" i="3" l="1"/>
  <c r="H457" i="3"/>
  <c r="I457" i="3"/>
  <c r="J457" i="3" s="1"/>
  <c r="H456" i="2"/>
  <c r="I456" i="2"/>
  <c r="J456" i="2" s="1"/>
  <c r="G456" i="2"/>
  <c r="G458" i="3" l="1"/>
  <c r="H458" i="3"/>
  <c r="I458" i="3"/>
  <c r="J458" i="3" s="1"/>
  <c r="H457" i="2"/>
  <c r="G457" i="2"/>
  <c r="I457" i="2"/>
  <c r="J457" i="2" s="1"/>
  <c r="G459" i="3" l="1"/>
  <c r="H459" i="3"/>
  <c r="I459" i="3"/>
  <c r="J459" i="3" s="1"/>
  <c r="G458" i="2"/>
  <c r="H458" i="2"/>
  <c r="I458" i="2"/>
  <c r="J458" i="2" s="1"/>
  <c r="G460" i="3" l="1"/>
  <c r="H460" i="3"/>
  <c r="I460" i="3"/>
  <c r="J460" i="3" s="1"/>
  <c r="G459" i="2"/>
  <c r="H459" i="2"/>
  <c r="I459" i="2"/>
  <c r="J459" i="2" s="1"/>
  <c r="G460" i="2" l="1"/>
  <c r="I460" i="2"/>
  <c r="J460" i="2" s="1"/>
  <c r="H460" i="2"/>
</calcChain>
</file>

<file path=xl/sharedStrings.xml><?xml version="1.0" encoding="utf-8"?>
<sst xmlns="http://schemas.openxmlformats.org/spreadsheetml/2006/main" count="31" uniqueCount="11">
  <si>
    <t>Pr(S2)</t>
  </si>
  <si>
    <t>Pr(S1)</t>
  </si>
  <si>
    <t>Pr(S0)</t>
  </si>
  <si>
    <t>S2</t>
  </si>
  <si>
    <t>S1</t>
  </si>
  <si>
    <t>S0</t>
  </si>
  <si>
    <t>Pr(S3)</t>
  </si>
  <si>
    <t>k</t>
  </si>
  <si>
    <t>R(t)</t>
  </si>
  <si>
    <t>Failure Probability q =</t>
  </si>
  <si>
    <t>Repair Probability r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</si>
</sst>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0"/>
      <name val="Playfair Display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10" fontId="2" fillId="0" borderId="5" xfId="1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2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das Probabilidades dos Estados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'DTMC - No Repair'!$G$1</c:f>
              <c:strCache>
                <c:ptCount val="1"/>
                <c:pt idx="0">
                  <c:v>Pr(S2)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'DTMC - No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No Repair'!$G$2:$G$460</c:f>
              <c:numCache>
                <c:formatCode>0.00%</c:formatCode>
                <c:ptCount val="459"/>
                <c:pt idx="0">
                  <c:v>1</c:v>
                </c:pt>
                <c:pt idx="1">
                  <c:v>0.98009999999999997</c:v>
                </c:pt>
                <c:pt idx="2">
                  <c:v>0.96059600999999994</c:v>
                </c:pt>
                <c:pt idx="3">
                  <c:v>0.94148014940099989</c:v>
                </c:pt>
                <c:pt idx="4">
                  <c:v>0.92274469442791995</c:v>
                </c:pt>
                <c:pt idx="5">
                  <c:v>0.9043820750088043</c:v>
                </c:pt>
                <c:pt idx="6">
                  <c:v>0.88638487171612912</c:v>
                </c:pt>
                <c:pt idx="7">
                  <c:v>0.86874581276897811</c:v>
                </c:pt>
                <c:pt idx="8">
                  <c:v>0.85145777109487542</c:v>
                </c:pt>
                <c:pt idx="9">
                  <c:v>0.83451376145008738</c:v>
                </c:pt>
                <c:pt idx="10">
                  <c:v>0.81790693759723065</c:v>
                </c:pt>
                <c:pt idx="11">
                  <c:v>0.80163058953904576</c:v>
                </c:pt>
                <c:pt idx="12">
                  <c:v>0.78567814080721876</c:v>
                </c:pt>
                <c:pt idx="13">
                  <c:v>0.77004314580515509</c:v>
                </c:pt>
                <c:pt idx="14">
                  <c:v>0.75471928720363246</c:v>
                </c:pt>
                <c:pt idx="15">
                  <c:v>0.73970037338828021</c:v>
                </c:pt>
                <c:pt idx="16">
                  <c:v>0.72498033595785338</c:v>
                </c:pt>
                <c:pt idx="17">
                  <c:v>0.71055322727229209</c:v>
                </c:pt>
                <c:pt idx="18">
                  <c:v>0.69641321804957346</c:v>
                </c:pt>
                <c:pt idx="19">
                  <c:v>0.68255459501038696</c:v>
                </c:pt>
                <c:pt idx="20">
                  <c:v>0.66897175856968027</c:v>
                </c:pt>
                <c:pt idx="21">
                  <c:v>0.65565922057414361</c:v>
                </c:pt>
                <c:pt idx="22">
                  <c:v>0.64261160208471813</c:v>
                </c:pt>
                <c:pt idx="23">
                  <c:v>0.62982363120323226</c:v>
                </c:pt>
                <c:pt idx="24">
                  <c:v>0.61729014094228796</c:v>
                </c:pt>
                <c:pt idx="25">
                  <c:v>0.60500606713753646</c:v>
                </c:pt>
                <c:pt idx="26">
                  <c:v>0.59296644640149943</c:v>
                </c:pt>
                <c:pt idx="27">
                  <c:v>0.58116641411810954</c:v>
                </c:pt>
                <c:pt idx="28">
                  <c:v>0.56960120247715917</c:v>
                </c:pt>
                <c:pt idx="29">
                  <c:v>0.55826613854786367</c:v>
                </c:pt>
                <c:pt idx="30">
                  <c:v>0.54715664239076112</c:v>
                </c:pt>
                <c:pt idx="31">
                  <c:v>0.53626822520718498</c:v>
                </c:pt>
                <c:pt idx="32">
                  <c:v>0.52559648752556198</c:v>
                </c:pt>
                <c:pt idx="33">
                  <c:v>0.5151371174238033</c:v>
                </c:pt>
                <c:pt idx="34">
                  <c:v>0.50488588878706964</c:v>
                </c:pt>
                <c:pt idx="35">
                  <c:v>0.49483865960020695</c:v>
                </c:pt>
                <c:pt idx="36">
                  <c:v>0.48499137027416284</c:v>
                </c:pt>
                <c:pt idx="37">
                  <c:v>0.47534004200570701</c:v>
                </c:pt>
                <c:pt idx="38">
                  <c:v>0.46588077516979343</c:v>
                </c:pt>
                <c:pt idx="39">
                  <c:v>0.45660974774391455</c:v>
                </c:pt>
                <c:pt idx="40">
                  <c:v>0.44752321376381066</c:v>
                </c:pt>
                <c:pt idx="41">
                  <c:v>0.43861750180991083</c:v>
                </c:pt>
                <c:pt idx="42">
                  <c:v>0.42988901352389358</c:v>
                </c:pt>
                <c:pt idx="43">
                  <c:v>0.42133422215476807</c:v>
                </c:pt>
                <c:pt idx="44">
                  <c:v>0.4129496711338882</c:v>
                </c:pt>
                <c:pt idx="45">
                  <c:v>0.40473197267832384</c:v>
                </c:pt>
                <c:pt idx="46">
                  <c:v>0.39667780642202516</c:v>
                </c:pt>
                <c:pt idx="47">
                  <c:v>0.38878391807422685</c:v>
                </c:pt>
                <c:pt idx="48">
                  <c:v>0.38104711810454972</c:v>
                </c:pt>
                <c:pt idx="49">
                  <c:v>0.37346428045426916</c:v>
                </c:pt>
                <c:pt idx="50">
                  <c:v>0.3660323412732292</c:v>
                </c:pt>
                <c:pt idx="51">
                  <c:v>0.35874829768189193</c:v>
                </c:pt>
                <c:pt idx="52">
                  <c:v>0.35160920655802225</c:v>
                </c:pt>
                <c:pt idx="53">
                  <c:v>0.34461218334751759</c:v>
                </c:pt>
                <c:pt idx="54">
                  <c:v>0.33775440089890196</c:v>
                </c:pt>
                <c:pt idx="55">
                  <c:v>0.3310330883210138</c:v>
                </c:pt>
                <c:pt idx="56">
                  <c:v>0.32444552986342562</c:v>
                </c:pt>
                <c:pt idx="57">
                  <c:v>0.31798906381914344</c:v>
                </c:pt>
                <c:pt idx="58">
                  <c:v>0.31166108144914245</c:v>
                </c:pt>
                <c:pt idx="59">
                  <c:v>0.30545902592830448</c:v>
                </c:pt>
                <c:pt idx="60">
                  <c:v>0.29938039131233124</c:v>
                </c:pt>
                <c:pt idx="61">
                  <c:v>0.29342272152521581</c:v>
                </c:pt>
                <c:pt idx="62">
                  <c:v>0.287583609366864</c:v>
                </c:pt>
                <c:pt idx="63">
                  <c:v>0.28186069554046339</c:v>
                </c:pt>
                <c:pt idx="64">
                  <c:v>0.27625166769920817</c:v>
                </c:pt>
                <c:pt idx="65">
                  <c:v>0.27075425951199394</c:v>
                </c:pt>
                <c:pt idx="66">
                  <c:v>0.26536624974770523</c:v>
                </c:pt>
                <c:pt idx="67">
                  <c:v>0.26008546137772587</c:v>
                </c:pt>
                <c:pt idx="68">
                  <c:v>0.25490976069630911</c:v>
                </c:pt>
                <c:pt idx="69">
                  <c:v>0.24983705645845256</c:v>
                </c:pt>
                <c:pt idx="70">
                  <c:v>0.24486529903492935</c:v>
                </c:pt>
                <c:pt idx="71">
                  <c:v>0.23999247958413425</c:v>
                </c:pt>
                <c:pt idx="72">
                  <c:v>0.23521662924040998</c:v>
                </c:pt>
                <c:pt idx="73">
                  <c:v>0.23053581831852582</c:v>
                </c:pt>
                <c:pt idx="74">
                  <c:v>0.22594815553398714</c:v>
                </c:pt>
                <c:pt idx="75">
                  <c:v>0.2214517872388608</c:v>
                </c:pt>
                <c:pt idx="76">
                  <c:v>0.21704489667280746</c:v>
                </c:pt>
                <c:pt idx="77">
                  <c:v>0.2127257032290186</c:v>
                </c:pt>
                <c:pt idx="78">
                  <c:v>0.20849246173476113</c:v>
                </c:pt>
                <c:pt idx="79">
                  <c:v>0.20434346174623938</c:v>
                </c:pt>
                <c:pt idx="80">
                  <c:v>0.20027702685748922</c:v>
                </c:pt>
                <c:pt idx="81">
                  <c:v>0.19629151402302517</c:v>
                </c:pt>
                <c:pt idx="82">
                  <c:v>0.19238531289396696</c:v>
                </c:pt>
                <c:pt idx="83">
                  <c:v>0.188556845167377</c:v>
                </c:pt>
                <c:pt idx="84">
                  <c:v>0.18480456394854619</c:v>
                </c:pt>
                <c:pt idx="85">
                  <c:v>0.1811269531259701</c:v>
                </c:pt>
                <c:pt idx="86">
                  <c:v>0.17752252675876329</c:v>
                </c:pt>
                <c:pt idx="87">
                  <c:v>0.1739898284762639</c:v>
                </c:pt>
                <c:pt idx="88">
                  <c:v>0.17052743088958625</c:v>
                </c:pt>
                <c:pt idx="89">
                  <c:v>0.16713393501488347</c:v>
                </c:pt>
                <c:pt idx="90">
                  <c:v>0.16380796970808728</c:v>
                </c:pt>
                <c:pt idx="91">
                  <c:v>0.16054819111089633</c:v>
                </c:pt>
                <c:pt idx="92">
                  <c:v>0.15735328210778948</c:v>
                </c:pt>
                <c:pt idx="93">
                  <c:v>0.15422195179384446</c:v>
                </c:pt>
                <c:pt idx="94">
                  <c:v>0.15115293495314694</c:v>
                </c:pt>
                <c:pt idx="95">
                  <c:v>0.14814499154757932</c:v>
                </c:pt>
                <c:pt idx="96">
                  <c:v>0.14519690621578249</c:v>
                </c:pt>
                <c:pt idx="97">
                  <c:v>0.1423074877820884</c:v>
                </c:pt>
                <c:pt idx="98">
                  <c:v>0.13947556877522485</c:v>
                </c:pt>
                <c:pt idx="99">
                  <c:v>0.13670000495659787</c:v>
                </c:pt>
                <c:pt idx="100">
                  <c:v>0.13397967485796156</c:v>
                </c:pt>
                <c:pt idx="101">
                  <c:v>0.13131347932828813</c:v>
                </c:pt>
                <c:pt idx="102">
                  <c:v>0.1287003410896552</c:v>
                </c:pt>
                <c:pt idx="103">
                  <c:v>0.12613920430197106</c:v>
                </c:pt>
                <c:pt idx="104">
                  <c:v>0.12362903413636184</c:v>
                </c:pt>
                <c:pt idx="105">
                  <c:v>0.12116881635704824</c:v>
                </c:pt>
                <c:pt idx="106">
                  <c:v>0.11875755691154298</c:v>
                </c:pt>
                <c:pt idx="107">
                  <c:v>0.11639428152900327</c:v>
                </c:pt>
                <c:pt idx="108">
                  <c:v>0.11407803532657611</c:v>
                </c:pt>
                <c:pt idx="109">
                  <c:v>0.11180788242357724</c:v>
                </c:pt>
                <c:pt idx="110">
                  <c:v>0.10958290556334804</c:v>
                </c:pt>
                <c:pt idx="111">
                  <c:v>0.10740220574263741</c:v>
                </c:pt>
                <c:pt idx="112">
                  <c:v>0.10526490184835892</c:v>
                </c:pt>
                <c:pt idx="113">
                  <c:v>0.10317013030157657</c:v>
                </c:pt>
                <c:pt idx="114">
                  <c:v>0.10111704470857519</c:v>
                </c:pt>
                <c:pt idx="115">
                  <c:v>9.9104815518874539E-2</c:v>
                </c:pt>
                <c:pt idx="116">
                  <c:v>9.7132629690048933E-2</c:v>
                </c:pt>
                <c:pt idx="117">
                  <c:v>9.5199690359216951E-2</c:v>
                </c:pt>
                <c:pt idx="118">
                  <c:v>9.3305216521068532E-2</c:v>
                </c:pt>
                <c:pt idx="119">
                  <c:v>9.1448442712299266E-2</c:v>
                </c:pt>
                <c:pt idx="120">
                  <c:v>8.9628618702324511E-2</c:v>
                </c:pt>
                <c:pt idx="121">
                  <c:v>8.7845009190148246E-2</c:v>
                </c:pt>
                <c:pt idx="122">
                  <c:v>8.6096893507264294E-2</c:v>
                </c:pt>
                <c:pt idx="123">
                  <c:v>8.4383565326469734E-2</c:v>
                </c:pt>
                <c:pt idx="124">
                  <c:v>8.2704332376472983E-2</c:v>
                </c:pt>
                <c:pt idx="125">
                  <c:v>8.1058516162181168E-2</c:v>
                </c:pt>
                <c:pt idx="126">
                  <c:v>7.9445451690553767E-2</c:v>
                </c:pt>
                <c:pt idx="127">
                  <c:v>7.7864487201911747E-2</c:v>
                </c:pt>
                <c:pt idx="128">
                  <c:v>7.6314983906593706E-2</c:v>
                </c:pt>
                <c:pt idx="129">
                  <c:v>7.4796315726852483E-2</c:v>
                </c:pt>
                <c:pt idx="130">
                  <c:v>7.3307869043888113E-2</c:v>
                </c:pt>
                <c:pt idx="131">
                  <c:v>7.1849042449914732E-2</c:v>
                </c:pt>
                <c:pt idx="132">
                  <c:v>7.0419246505161431E-2</c:v>
                </c:pt>
                <c:pt idx="133">
                  <c:v>6.901790349970871E-2</c:v>
                </c:pt>
                <c:pt idx="134">
                  <c:v>6.7644447220064505E-2</c:v>
                </c:pt>
                <c:pt idx="135">
                  <c:v>6.6298322720385217E-2</c:v>
                </c:pt>
                <c:pt idx="136">
                  <c:v>6.497898609824955E-2</c:v>
                </c:pt>
                <c:pt idx="137">
                  <c:v>6.3685904274894387E-2</c:v>
                </c:pt>
                <c:pt idx="138">
                  <c:v>6.2418554779823984E-2</c:v>
                </c:pt>
                <c:pt idx="139">
                  <c:v>6.1176425539705488E-2</c:v>
                </c:pt>
                <c:pt idx="140">
                  <c:v>5.9959014671465347E-2</c:v>
                </c:pt>
                <c:pt idx="141">
                  <c:v>5.8765830279503183E-2</c:v>
                </c:pt>
                <c:pt idx="142">
                  <c:v>5.759639025694107E-2</c:v>
                </c:pt>
                <c:pt idx="143">
                  <c:v>5.6450222090827944E-2</c:v>
                </c:pt>
                <c:pt idx="144">
                  <c:v>5.5326862671220466E-2</c:v>
                </c:pt>
                <c:pt idx="145">
                  <c:v>5.4225858104063177E-2</c:v>
                </c:pt>
                <c:pt idx="146">
                  <c:v>5.3146763527792316E-2</c:v>
                </c:pt>
                <c:pt idx="147">
                  <c:v>5.2089142933589246E-2</c:v>
                </c:pt>
                <c:pt idx="148">
                  <c:v>5.1052568989210817E-2</c:v>
                </c:pt>
                <c:pt idx="149">
                  <c:v>5.0036622866325521E-2</c:v>
                </c:pt>
                <c:pt idx="150">
                  <c:v>4.9040894071285639E-2</c:v>
                </c:pt>
                <c:pt idx="151">
                  <c:v>4.8064980279267054E-2</c:v>
                </c:pt>
                <c:pt idx="152">
                  <c:v>4.7108487171709637E-2</c:v>
                </c:pt>
                <c:pt idx="153">
                  <c:v>4.6171028276992612E-2</c:v>
                </c:pt>
                <c:pt idx="154">
                  <c:v>4.5252224814280456E-2</c:v>
                </c:pt>
                <c:pt idx="155">
                  <c:v>4.4351705540476273E-2</c:v>
                </c:pt>
                <c:pt idx="156">
                  <c:v>4.3469106600220797E-2</c:v>
                </c:pt>
                <c:pt idx="157">
                  <c:v>4.2604071378876403E-2</c:v>
                </c:pt>
                <c:pt idx="158">
                  <c:v>4.1756250358436761E-2</c:v>
                </c:pt>
                <c:pt idx="159">
                  <c:v>4.0925300976303869E-2</c:v>
                </c:pt>
                <c:pt idx="160">
                  <c:v>4.011088748687542E-2</c:v>
                </c:pt>
                <c:pt idx="161">
                  <c:v>3.9312680825886598E-2</c:v>
                </c:pt>
                <c:pt idx="162">
                  <c:v>3.8530358477451454E-2</c:v>
                </c:pt>
                <c:pt idx="163">
                  <c:v>3.7763604343750166E-2</c:v>
                </c:pt>
                <c:pt idx="164">
                  <c:v>3.7012108617309539E-2</c:v>
                </c:pt>
                <c:pt idx="165">
                  <c:v>3.6275567655825076E-2</c:v>
                </c:pt>
                <c:pt idx="166">
                  <c:v>3.5553683859474154E-2</c:v>
                </c:pt>
                <c:pt idx="167">
                  <c:v>3.4846165550670619E-2</c:v>
                </c:pt>
                <c:pt idx="168">
                  <c:v>3.4152726856212269E-2</c:v>
                </c:pt>
                <c:pt idx="169">
                  <c:v>3.3473087591773643E-2</c:v>
                </c:pt>
                <c:pt idx="170">
                  <c:v>3.2806973148697349E-2</c:v>
                </c:pt>
                <c:pt idx="171">
                  <c:v>3.2154114383038272E-2</c:v>
                </c:pt>
                <c:pt idx="172">
                  <c:v>3.1514247506815807E-2</c:v>
                </c:pt>
                <c:pt idx="173">
                  <c:v>3.0887113981430171E-2</c:v>
                </c:pt>
                <c:pt idx="174">
                  <c:v>3.0272460413199708E-2</c:v>
                </c:pt>
                <c:pt idx="175">
                  <c:v>2.9670038450977033E-2</c:v>
                </c:pt>
                <c:pt idx="176">
                  <c:v>2.907960468580259E-2</c:v>
                </c:pt>
                <c:pt idx="177">
                  <c:v>2.8500920552555119E-2</c:v>
                </c:pt>
                <c:pt idx="178">
                  <c:v>2.7933752233559272E-2</c:v>
                </c:pt>
                <c:pt idx="179">
                  <c:v>2.737787056411144E-2</c:v>
                </c:pt>
                <c:pt idx="180">
                  <c:v>2.6833050939885621E-2</c:v>
                </c:pt>
                <c:pt idx="181">
                  <c:v>2.6299073226181895E-2</c:v>
                </c:pt>
                <c:pt idx="182">
                  <c:v>2.5775721668980876E-2</c:v>
                </c:pt>
                <c:pt idx="183">
                  <c:v>2.5262784807768154E-2</c:v>
                </c:pt>
                <c:pt idx="184">
                  <c:v>2.4760055390093568E-2</c:v>
                </c:pt>
                <c:pt idx="185">
                  <c:v>2.4267330287830704E-2</c:v>
                </c:pt>
                <c:pt idx="186">
                  <c:v>2.3784410415102871E-2</c:v>
                </c:pt>
                <c:pt idx="187">
                  <c:v>2.3311100647842323E-2</c:v>
                </c:pt>
                <c:pt idx="188">
                  <c:v>2.2847209744950261E-2</c:v>
                </c:pt>
                <c:pt idx="189">
                  <c:v>2.2392550271025751E-2</c:v>
                </c:pt>
                <c:pt idx="190">
                  <c:v>2.1946938520632338E-2</c:v>
                </c:pt>
                <c:pt idx="191">
                  <c:v>2.1510194444071755E-2</c:v>
                </c:pt>
                <c:pt idx="192">
                  <c:v>2.1082141574634727E-2</c:v>
                </c:pt>
                <c:pt idx="193">
                  <c:v>2.0662606957299497E-2</c:v>
                </c:pt>
                <c:pt idx="194">
                  <c:v>2.0251421078849235E-2</c:v>
                </c:pt>
                <c:pt idx="195">
                  <c:v>1.9848417799380135E-2</c:v>
                </c:pt>
                <c:pt idx="196">
                  <c:v>1.9453434285172471E-2</c:v>
                </c:pt>
                <c:pt idx="197">
                  <c:v>1.9066310942897537E-2</c:v>
                </c:pt>
                <c:pt idx="198">
                  <c:v>1.8686891355133874E-2</c:v>
                </c:pt>
                <c:pt idx="199">
                  <c:v>1.8315022217166708E-2</c:v>
                </c:pt>
                <c:pt idx="200">
                  <c:v>1.7950553275045092E-2</c:v>
                </c:pt>
                <c:pt idx="201">
                  <c:v>1.7593337264871695E-2</c:v>
                </c:pt>
                <c:pt idx="202">
                  <c:v>1.7243229853300748E-2</c:v>
                </c:pt>
                <c:pt idx="203">
                  <c:v>1.6900089579220064E-2</c:v>
                </c:pt>
                <c:pt idx="204">
                  <c:v>1.6563777796593585E-2</c:v>
                </c:pt>
                <c:pt idx="205">
                  <c:v>1.6234158618441373E-2</c:v>
                </c:pt>
                <c:pt idx="206">
                  <c:v>1.591109886193439E-2</c:v>
                </c:pt>
                <c:pt idx="207">
                  <c:v>1.5594467994581895E-2</c:v>
                </c:pt>
                <c:pt idx="208">
                  <c:v>1.5284138081489715E-2</c:v>
                </c:pt>
                <c:pt idx="209">
                  <c:v>1.497998373366807E-2</c:v>
                </c:pt>
                <c:pt idx="210">
                  <c:v>1.4681882057368074E-2</c:v>
                </c:pt>
                <c:pt idx="211">
                  <c:v>1.4389712604426449E-2</c:v>
                </c:pt>
                <c:pt idx="212">
                  <c:v>1.4103357323598362E-2</c:v>
                </c:pt>
                <c:pt idx="213">
                  <c:v>1.3822700512858754E-2</c:v>
                </c:pt>
                <c:pt idx="214">
                  <c:v>1.3547628772652864E-2</c:v>
                </c:pt>
                <c:pt idx="215">
                  <c:v>1.3278030960077071E-2</c:v>
                </c:pt>
                <c:pt idx="216">
                  <c:v>1.3013798143971538E-2</c:v>
                </c:pt>
                <c:pt idx="217">
                  <c:v>1.2754823560906504E-2</c:v>
                </c:pt>
                <c:pt idx="218">
                  <c:v>1.2501002572044465E-2</c:v>
                </c:pt>
                <c:pt idx="219">
                  <c:v>1.225223262086078E-2</c:v>
                </c:pt>
                <c:pt idx="220">
                  <c:v>1.200841319170565E-2</c:v>
                </c:pt>
                <c:pt idx="221">
                  <c:v>1.1769445769190708E-2</c:v>
                </c:pt>
                <c:pt idx="222">
                  <c:v>1.1535233798383813E-2</c:v>
                </c:pt>
                <c:pt idx="223">
                  <c:v>1.1305682645795975E-2</c:v>
                </c:pt>
                <c:pt idx="224">
                  <c:v>1.1080699561144635E-2</c:v>
                </c:pt>
                <c:pt idx="225">
                  <c:v>1.0860193639877856E-2</c:v>
                </c:pt>
                <c:pt idx="226">
                  <c:v>1.0644075786444286E-2</c:v>
                </c:pt>
                <c:pt idx="227">
                  <c:v>1.0432258678294044E-2</c:v>
                </c:pt>
                <c:pt idx="228">
                  <c:v>1.0224656730595992E-2</c:v>
                </c:pt>
                <c:pt idx="229">
                  <c:v>1.0021186061657132E-2</c:v>
                </c:pt>
                <c:pt idx="230">
                  <c:v>9.8217644590301544E-3</c:v>
                </c:pt>
                <c:pt idx="231">
                  <c:v>9.6263113462954544E-3</c:v>
                </c:pt>
                <c:pt idx="232">
                  <c:v>9.4347477505041747E-3</c:v>
                </c:pt>
                <c:pt idx="233">
                  <c:v>9.2469962702691408E-3</c:v>
                </c:pt>
                <c:pt idx="234">
                  <c:v>9.0629810444907838E-3</c:v>
                </c:pt>
                <c:pt idx="235">
                  <c:v>8.8826277217054165E-3</c:v>
                </c:pt>
                <c:pt idx="236">
                  <c:v>8.7058634300434777E-3</c:v>
                </c:pt>
                <c:pt idx="237">
                  <c:v>8.5326167477856128E-3</c:v>
                </c:pt>
                <c:pt idx="238">
                  <c:v>8.3628176745046794E-3</c:v>
                </c:pt>
                <c:pt idx="239">
                  <c:v>8.1963976027820355E-3</c:v>
                </c:pt>
                <c:pt idx="240">
                  <c:v>8.0332892904866719E-3</c:v>
                </c:pt>
                <c:pt idx="241">
                  <c:v>7.8734268336059874E-3</c:v>
                </c:pt>
                <c:pt idx="242">
                  <c:v>7.7167456396172278E-3</c:v>
                </c:pt>
                <c:pt idx="243">
                  <c:v>7.5631824013888448E-3</c:v>
                </c:pt>
                <c:pt idx="244">
                  <c:v>7.4126750716012064E-3</c:v>
                </c:pt>
                <c:pt idx="245">
                  <c:v>7.2651628376763418E-3</c:v>
                </c:pt>
                <c:pt idx="246">
                  <c:v>7.1205860972065821E-3</c:v>
                </c:pt>
                <c:pt idx="247">
                  <c:v>6.9788864338721709E-3</c:v>
                </c:pt>
                <c:pt idx="248">
                  <c:v>6.8400065938381141E-3</c:v>
                </c:pt>
                <c:pt idx="249">
                  <c:v>6.7038904626207357E-3</c:v>
                </c:pt>
                <c:pt idx="250">
                  <c:v>6.5704830424145825E-3</c:v>
                </c:pt>
                <c:pt idx="251">
                  <c:v>6.4397304298705318E-3</c:v>
                </c:pt>
                <c:pt idx="252">
                  <c:v>6.311579794316108E-3</c:v>
                </c:pt>
                <c:pt idx="253">
                  <c:v>6.1859793564092175E-3</c:v>
                </c:pt>
                <c:pt idx="254">
                  <c:v>6.0628783672166736E-3</c:v>
                </c:pt>
                <c:pt idx="255">
                  <c:v>5.9422270877090618E-3</c:v>
                </c:pt>
                <c:pt idx="256">
                  <c:v>5.8239767686636516E-3</c:v>
                </c:pt>
                <c:pt idx="257">
                  <c:v>5.708079630967245E-3</c:v>
                </c:pt>
                <c:pt idx="258">
                  <c:v>5.5944888463109969E-3</c:v>
                </c:pt>
                <c:pt idx="259">
                  <c:v>5.4831585182694076E-3</c:v>
                </c:pt>
                <c:pt idx="260">
                  <c:v>5.3740436637558465E-3</c:v>
                </c:pt>
                <c:pt idx="261">
                  <c:v>5.2671001948471049E-3</c:v>
                </c:pt>
                <c:pt idx="262">
                  <c:v>5.1622849009696475E-3</c:v>
                </c:pt>
                <c:pt idx="263">
                  <c:v>5.0595554314403516E-3</c:v>
                </c:pt>
                <c:pt idx="264">
                  <c:v>4.9588702783546889E-3</c:v>
                </c:pt>
                <c:pt idx="265">
                  <c:v>4.8601887598154307E-3</c:v>
                </c:pt>
                <c:pt idx="266">
                  <c:v>4.7634710034951035E-3</c:v>
                </c:pt>
                <c:pt idx="267">
                  <c:v>4.6686779305255511E-3</c:v>
                </c:pt>
                <c:pt idx="268">
                  <c:v>4.5757712397080921E-3</c:v>
                </c:pt>
                <c:pt idx="269">
                  <c:v>4.4847133920379008E-3</c:v>
                </c:pt>
                <c:pt idx="270">
                  <c:v>4.3954675955363461E-3</c:v>
                </c:pt>
                <c:pt idx="271">
                  <c:v>4.3079977903851723E-3</c:v>
                </c:pt>
                <c:pt idx="272">
                  <c:v>4.2222686343565069E-3</c:v>
                </c:pt>
                <c:pt idx="273">
                  <c:v>4.1382454885328119E-3</c:v>
                </c:pt>
                <c:pt idx="274">
                  <c:v>4.0558944033110087E-3</c:v>
                </c:pt>
                <c:pt idx="275">
                  <c:v>3.9751821046851198E-3</c:v>
                </c:pt>
                <c:pt idx="276">
                  <c:v>3.8960759808018856E-3</c:v>
                </c:pt>
                <c:pt idx="277">
                  <c:v>3.8185440687839279E-3</c:v>
                </c:pt>
                <c:pt idx="278">
                  <c:v>3.7425550418151276E-3</c:v>
                </c:pt>
                <c:pt idx="279">
                  <c:v>3.6680781964830065E-3</c:v>
                </c:pt>
                <c:pt idx="280">
                  <c:v>3.5950834403729944E-3</c:v>
                </c:pt>
                <c:pt idx="281">
                  <c:v>3.5235412799095715E-3</c:v>
                </c:pt>
                <c:pt idx="282">
                  <c:v>3.4534228084393708E-3</c:v>
                </c:pt>
                <c:pt idx="283">
                  <c:v>3.3846996945514273E-3</c:v>
                </c:pt>
                <c:pt idx="284">
                  <c:v>3.3173441706298538E-3</c:v>
                </c:pt>
                <c:pt idx="285">
                  <c:v>3.2513290216343196E-3</c:v>
                </c:pt>
                <c:pt idx="286">
                  <c:v>3.1866275741037967E-3</c:v>
                </c:pt>
                <c:pt idx="287">
                  <c:v>3.1232136853791312E-3</c:v>
                </c:pt>
                <c:pt idx="288">
                  <c:v>3.0610617330400864E-3</c:v>
                </c:pt>
                <c:pt idx="289">
                  <c:v>3.0001466045525885E-3</c:v>
                </c:pt>
                <c:pt idx="290">
                  <c:v>2.9404436871219917E-3</c:v>
                </c:pt>
                <c:pt idx="291">
                  <c:v>2.8819288577482641E-3</c:v>
                </c:pt>
                <c:pt idx="292">
                  <c:v>2.8245784734790736E-3</c:v>
                </c:pt>
                <c:pt idx="293">
                  <c:v>2.7683693618568398E-3</c:v>
                </c:pt>
                <c:pt idx="294">
                  <c:v>2.7132788115558884E-3</c:v>
                </c:pt>
                <c:pt idx="295">
                  <c:v>2.6592845632059259E-3</c:v>
                </c:pt>
                <c:pt idx="296">
                  <c:v>2.6063648003981279E-3</c:v>
                </c:pt>
                <c:pt idx="297">
                  <c:v>2.5544981408702049E-3</c:v>
                </c:pt>
                <c:pt idx="298">
                  <c:v>2.503663627866888E-3</c:v>
                </c:pt>
                <c:pt idx="299">
                  <c:v>2.453840721672337E-3</c:v>
                </c:pt>
                <c:pt idx="300">
                  <c:v>2.4050092913110574E-3</c:v>
                </c:pt>
                <c:pt idx="301">
                  <c:v>2.3571496064139674E-3</c:v>
                </c:pt>
                <c:pt idx="302">
                  <c:v>2.3102423292463295E-3</c:v>
                </c:pt>
                <c:pt idx="303">
                  <c:v>2.2642685068943276E-3</c:v>
                </c:pt>
                <c:pt idx="304">
                  <c:v>2.2192095636071303E-3</c:v>
                </c:pt>
                <c:pt idx="305">
                  <c:v>2.1750472932913485E-3</c:v>
                </c:pt>
                <c:pt idx="306">
                  <c:v>2.1317638521548507E-3</c:v>
                </c:pt>
                <c:pt idx="307">
                  <c:v>2.089341751496969E-3</c:v>
                </c:pt>
                <c:pt idx="308">
                  <c:v>2.0477638506421793E-3</c:v>
                </c:pt>
                <c:pt idx="309">
                  <c:v>2.0070133500144E-3</c:v>
                </c:pt>
                <c:pt idx="310">
                  <c:v>1.9670737843491136E-3</c:v>
                </c:pt>
                <c:pt idx="311">
                  <c:v>1.9279290160405661E-3</c:v>
                </c:pt>
                <c:pt idx="312">
                  <c:v>1.8895632286213587E-3</c:v>
                </c:pt>
                <c:pt idx="313">
                  <c:v>1.8519609203717937E-3</c:v>
                </c:pt>
                <c:pt idx="314">
                  <c:v>1.815106898056395E-3</c:v>
                </c:pt>
                <c:pt idx="315">
                  <c:v>1.7789862707850727E-3</c:v>
                </c:pt>
                <c:pt idx="316">
                  <c:v>1.7435844439964497E-3</c:v>
                </c:pt>
                <c:pt idx="317">
                  <c:v>1.7088871135609203E-3</c:v>
                </c:pt>
                <c:pt idx="318">
                  <c:v>1.6748802600010579E-3</c:v>
                </c:pt>
                <c:pt idx="319">
                  <c:v>1.6415501428270367E-3</c:v>
                </c:pt>
                <c:pt idx="320">
                  <c:v>1.6088832949847788E-3</c:v>
                </c:pt>
                <c:pt idx="321">
                  <c:v>1.5768665174145816E-3</c:v>
                </c:pt>
                <c:pt idx="322">
                  <c:v>1.5454868737180313E-3</c:v>
                </c:pt>
                <c:pt idx="323">
                  <c:v>1.5147316849310425E-3</c:v>
                </c:pt>
                <c:pt idx="324">
                  <c:v>1.4845885244009146E-3</c:v>
                </c:pt>
                <c:pt idx="325">
                  <c:v>1.4550452127653365E-3</c:v>
                </c:pt>
                <c:pt idx="326">
                  <c:v>1.4260898130313063E-3</c:v>
                </c:pt>
                <c:pt idx="327">
                  <c:v>1.3977106257519834E-3</c:v>
                </c:pt>
                <c:pt idx="328">
                  <c:v>1.3698961842995188E-3</c:v>
                </c:pt>
                <c:pt idx="329">
                  <c:v>1.3426352502319584E-3</c:v>
                </c:pt>
                <c:pt idx="330">
                  <c:v>1.3159168087523423E-3</c:v>
                </c:pt>
                <c:pt idx="331">
                  <c:v>1.2897300642581706E-3</c:v>
                </c:pt>
                <c:pt idx="332">
                  <c:v>1.264064435979433E-3</c:v>
                </c:pt>
                <c:pt idx="333">
                  <c:v>1.2389095537034423E-3</c:v>
                </c:pt>
                <c:pt idx="334">
                  <c:v>1.2142552535847437E-3</c:v>
                </c:pt>
                <c:pt idx="335">
                  <c:v>1.1900915740384072E-3</c:v>
                </c:pt>
                <c:pt idx="336">
                  <c:v>1.1664087517150429E-3</c:v>
                </c:pt>
                <c:pt idx="337">
                  <c:v>1.1431972175559135E-3</c:v>
                </c:pt>
                <c:pt idx="338">
                  <c:v>1.1204475929265508E-3</c:v>
                </c:pt>
                <c:pt idx="339">
                  <c:v>1.0981506858273125E-3</c:v>
                </c:pt>
                <c:pt idx="340">
                  <c:v>1.0762974871793489E-3</c:v>
                </c:pt>
                <c:pt idx="341">
                  <c:v>1.0548791671844799E-3</c:v>
                </c:pt>
                <c:pt idx="342">
                  <c:v>1.0338870717575086E-3</c:v>
                </c:pt>
                <c:pt idx="343">
                  <c:v>1.0133127190295342E-3</c:v>
                </c:pt>
                <c:pt idx="344">
                  <c:v>9.9314779592084637E-4</c:v>
                </c:pt>
                <c:pt idx="345">
                  <c:v>9.733841547820215E-4</c:v>
                </c:pt>
                <c:pt idx="346">
                  <c:v>9.5401381010185927E-4</c:v>
                </c:pt>
                <c:pt idx="347">
                  <c:v>9.3502893528083224E-4</c:v>
                </c:pt>
                <c:pt idx="348">
                  <c:v>9.1642185946874362E-4</c:v>
                </c:pt>
                <c:pt idx="349">
                  <c:v>8.9818506446531559E-4</c:v>
                </c:pt>
                <c:pt idx="350">
                  <c:v>8.803111816824558E-4</c:v>
                </c:pt>
                <c:pt idx="351">
                  <c:v>8.6279298916697492E-4</c:v>
                </c:pt>
                <c:pt idx="352">
                  <c:v>8.4562340868255209E-4</c:v>
                </c:pt>
                <c:pt idx="353">
                  <c:v>8.2879550284976932E-4</c:v>
                </c:pt>
                <c:pt idx="354">
                  <c:v>8.1230247234305886E-4</c:v>
                </c:pt>
                <c:pt idx="355">
                  <c:v>7.9613765314343196E-4</c:v>
                </c:pt>
                <c:pt idx="356">
                  <c:v>7.8029451384587758E-4</c:v>
                </c:pt>
                <c:pt idx="357">
                  <c:v>7.6476665302034456E-4</c:v>
                </c:pt>
                <c:pt idx="358">
                  <c:v>7.4954779662523966E-4</c:v>
                </c:pt>
                <c:pt idx="359">
                  <c:v>7.3463179547239739E-4</c:v>
                </c:pt>
                <c:pt idx="360">
                  <c:v>7.2001262274249669E-4</c:v>
                </c:pt>
                <c:pt idx="361">
                  <c:v>7.0568437154992097E-4</c:v>
                </c:pt>
                <c:pt idx="362">
                  <c:v>6.9164125255607751E-4</c:v>
                </c:pt>
                <c:pt idx="363">
                  <c:v>6.7787759163021153E-4</c:v>
                </c:pt>
                <c:pt idx="364">
                  <c:v>6.643878275567703E-4</c:v>
                </c:pt>
                <c:pt idx="365">
                  <c:v>6.5116650978839054E-4</c:v>
                </c:pt>
                <c:pt idx="366">
                  <c:v>6.3820829624360151E-4</c:v>
                </c:pt>
                <c:pt idx="367">
                  <c:v>6.2550795114835384E-4</c:v>
                </c:pt>
                <c:pt idx="368">
                  <c:v>6.1306034292050158E-4</c:v>
                </c:pt>
                <c:pt idx="369">
                  <c:v>6.0086044209638363E-4</c:v>
                </c:pt>
                <c:pt idx="370">
                  <c:v>5.8890331929866563E-4</c:v>
                </c:pt>
                <c:pt idx="371">
                  <c:v>5.7718414324462212E-4</c:v>
                </c:pt>
                <c:pt idx="372">
                  <c:v>5.6569817879405411E-4</c:v>
                </c:pt>
                <c:pt idx="373">
                  <c:v>5.5444078503605245E-4</c:v>
                </c:pt>
                <c:pt idx="374">
                  <c:v>5.4340741341383494E-4</c:v>
                </c:pt>
                <c:pt idx="375">
                  <c:v>5.3259360588689961E-4</c:v>
                </c:pt>
                <c:pt idx="376">
                  <c:v>5.2199499312975033E-4</c:v>
                </c:pt>
                <c:pt idx="377">
                  <c:v>5.1160729276646826E-4</c:v>
                </c:pt>
                <c:pt idx="378">
                  <c:v>5.0142630764041555E-4</c:v>
                </c:pt>
                <c:pt idx="379">
                  <c:v>4.9144792411837124E-4</c:v>
                </c:pt>
                <c:pt idx="380">
                  <c:v>4.8166811042841564E-4</c:v>
                </c:pt>
                <c:pt idx="381">
                  <c:v>4.7208291503089017E-4</c:v>
                </c:pt>
                <c:pt idx="382">
                  <c:v>4.6268846502177543E-4</c:v>
                </c:pt>
                <c:pt idx="383">
                  <c:v>4.5348096456784208E-4</c:v>
                </c:pt>
                <c:pt idx="384">
                  <c:v>4.4445669337294199E-4</c:v>
                </c:pt>
                <c:pt idx="385">
                  <c:v>4.3561200517482041E-4</c:v>
                </c:pt>
                <c:pt idx="386">
                  <c:v>4.2694332627184146E-4</c:v>
                </c:pt>
                <c:pt idx="387">
                  <c:v>4.1844715407903183E-4</c:v>
                </c:pt>
                <c:pt idx="388">
                  <c:v>4.1012005571285906E-4</c:v>
                </c:pt>
                <c:pt idx="389">
                  <c:v>4.0195866660417318E-4</c:v>
                </c:pt>
                <c:pt idx="390">
                  <c:v>3.9395968913875012E-4</c:v>
                </c:pt>
                <c:pt idx="391">
                  <c:v>3.8611989132488899E-4</c:v>
                </c:pt>
                <c:pt idx="392">
                  <c:v>3.7843610548752367E-4</c:v>
                </c:pt>
                <c:pt idx="393">
                  <c:v>3.7090522698832195E-4</c:v>
                </c:pt>
                <c:pt idx="394">
                  <c:v>3.6352421297125434E-4</c:v>
                </c:pt>
                <c:pt idx="395">
                  <c:v>3.5629008113312636E-4</c:v>
                </c:pt>
                <c:pt idx="396">
                  <c:v>3.4919990851857712E-4</c:v>
                </c:pt>
                <c:pt idx="397">
                  <c:v>3.4225083033905744E-4</c:v>
                </c:pt>
                <c:pt idx="398">
                  <c:v>3.3544003881531018E-4</c:v>
                </c:pt>
                <c:pt idx="399">
                  <c:v>3.2876478204288547E-4</c:v>
                </c:pt>
                <c:pt idx="400">
                  <c:v>3.2222236288023204E-4</c:v>
                </c:pt>
                <c:pt idx="401">
                  <c:v>3.1581013785891539E-4</c:v>
                </c:pt>
                <c:pt idx="402">
                  <c:v>3.0952551611552299E-4</c:v>
                </c:pt>
                <c:pt idx="403">
                  <c:v>3.0336595834482406E-4</c:v>
                </c:pt>
                <c:pt idx="404">
                  <c:v>2.9732897577376205E-4</c:v>
                </c:pt>
                <c:pt idx="405">
                  <c:v>2.9141212915586418E-4</c:v>
                </c:pt>
                <c:pt idx="406">
                  <c:v>2.8561302778566249E-4</c:v>
                </c:pt>
                <c:pt idx="407">
                  <c:v>2.7992932853272782E-4</c:v>
                </c:pt>
                <c:pt idx="408">
                  <c:v>2.7435873489492653E-4</c:v>
                </c:pt>
                <c:pt idx="409">
                  <c:v>2.6889899607051746E-4</c:v>
                </c:pt>
                <c:pt idx="410">
                  <c:v>2.6354790604871418E-4</c:v>
                </c:pt>
                <c:pt idx="411">
                  <c:v>2.5830330271834479E-4</c:v>
                </c:pt>
                <c:pt idx="412">
                  <c:v>2.5316306699424971E-4</c:v>
                </c:pt>
                <c:pt idx="413">
                  <c:v>2.4812512196106411E-4</c:v>
                </c:pt>
                <c:pt idx="414">
                  <c:v>2.4318743203403893E-4</c:v>
                </c:pt>
                <c:pt idx="415">
                  <c:v>2.3834800213656156E-4</c:v>
                </c:pt>
                <c:pt idx="416">
                  <c:v>2.3360487689404397E-4</c:v>
                </c:pt>
                <c:pt idx="417">
                  <c:v>2.289561398438525E-4</c:v>
                </c:pt>
                <c:pt idx="418">
                  <c:v>2.2439991266095982E-4</c:v>
                </c:pt>
                <c:pt idx="419">
                  <c:v>2.1993435439900672E-4</c:v>
                </c:pt>
                <c:pt idx="420">
                  <c:v>2.1555766074646648E-4</c:v>
                </c:pt>
                <c:pt idx="421">
                  <c:v>2.1126806329761178E-4</c:v>
                </c:pt>
                <c:pt idx="422">
                  <c:v>2.070638288379893E-4</c:v>
                </c:pt>
                <c:pt idx="423">
                  <c:v>2.0294325864411331E-4</c:v>
                </c:pt>
                <c:pt idx="424">
                  <c:v>1.9890468779709545E-4</c:v>
                </c:pt>
                <c:pt idx="425">
                  <c:v>1.9494648450993325E-4</c:v>
                </c:pt>
                <c:pt idx="426">
                  <c:v>1.9106704946818558E-4</c:v>
                </c:pt>
                <c:pt idx="427">
                  <c:v>1.8726481518376869E-4</c:v>
                </c:pt>
                <c:pt idx="428">
                  <c:v>1.8353824536161169E-4</c:v>
                </c:pt>
                <c:pt idx="429">
                  <c:v>1.7988583427891561E-4</c:v>
                </c:pt>
                <c:pt idx="430">
                  <c:v>1.7630610617676518E-4</c:v>
                </c:pt>
                <c:pt idx="431">
                  <c:v>1.7279761466384755E-4</c:v>
                </c:pt>
                <c:pt idx="432">
                  <c:v>1.6935894213203698E-4</c:v>
                </c:pt>
                <c:pt idx="433">
                  <c:v>1.6598869918360944E-4</c:v>
                </c:pt>
                <c:pt idx="434">
                  <c:v>1.6268552406985561E-4</c:v>
                </c:pt>
                <c:pt idx="435">
                  <c:v>1.5944808214086548E-4</c:v>
                </c:pt>
                <c:pt idx="436">
                  <c:v>1.5627506530626226E-4</c:v>
                </c:pt>
                <c:pt idx="437">
                  <c:v>1.5316519150666765E-4</c:v>
                </c:pt>
                <c:pt idx="438">
                  <c:v>1.5011720419568495E-4</c:v>
                </c:pt>
                <c:pt idx="439">
                  <c:v>1.4712987183219083E-4</c:v>
                </c:pt>
                <c:pt idx="440">
                  <c:v>1.4420198738273024E-4</c:v>
                </c:pt>
                <c:pt idx="441">
                  <c:v>1.413323678338139E-4</c:v>
                </c:pt>
                <c:pt idx="442">
                  <c:v>1.3851985371392099E-4</c:v>
                </c:pt>
                <c:pt idx="443">
                  <c:v>1.3576330862501395E-4</c:v>
                </c:pt>
                <c:pt idx="444">
                  <c:v>1.3306161878337617E-4</c:v>
                </c:pt>
                <c:pt idx="445">
                  <c:v>1.3041369256958698E-4</c:v>
                </c:pt>
                <c:pt idx="446">
                  <c:v>1.2781846008745219E-4</c:v>
                </c:pt>
                <c:pt idx="447">
                  <c:v>1.2527487273171188E-4</c:v>
                </c:pt>
                <c:pt idx="448">
                  <c:v>1.2278190276435083E-4</c:v>
                </c:pt>
                <c:pt idx="449">
                  <c:v>1.2033854289934024E-4</c:v>
                </c:pt>
                <c:pt idx="450">
                  <c:v>1.1794380589564337E-4</c:v>
                </c:pt>
                <c:pt idx="451">
                  <c:v>1.1559672415832007E-4</c:v>
                </c:pt>
                <c:pt idx="452">
                  <c:v>1.132963493475695E-4</c:v>
                </c:pt>
                <c:pt idx="453">
                  <c:v>1.1104175199555286E-4</c:v>
                </c:pt>
                <c:pt idx="454">
                  <c:v>1.0883202113084136E-4</c:v>
                </c:pt>
                <c:pt idx="455">
                  <c:v>1.0666626391033761E-4</c:v>
                </c:pt>
                <c:pt idx="456">
                  <c:v>1.0454360525852188E-4</c:v>
                </c:pt>
                <c:pt idx="457">
                  <c:v>1.0246318751387729E-4</c:v>
                </c:pt>
                <c:pt idx="458">
                  <c:v>1.0042417008235113E-4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25-4083-8CD4-2874601F9B67}"/>
            </c:ext>
          </c:extLst>
        </c:ser>
        <c:ser>
          <c:idx val="1"/>
          <c:order val="1"/>
          <c:tx>
            <c:strRef>
              <c:f>'DTMC - No Repair'!$H$1</c:f>
              <c:strCache>
                <c:ptCount val="1"/>
                <c:pt idx="0">
                  <c:v>Pr(S1)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'DTMC - No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No Repair'!$H$2:$H$460</c:f>
              <c:numCache>
                <c:formatCode>0.00%</c:formatCode>
                <c:ptCount val="459"/>
                <c:pt idx="0">
                  <c:v>0</c:v>
                </c:pt>
                <c:pt idx="1">
                  <c:v>1.9800000000000002E-2</c:v>
                </c:pt>
                <c:pt idx="2">
                  <c:v>3.9007979999999998E-2</c:v>
                </c:pt>
                <c:pt idx="3">
                  <c:v>5.7637701198000005E-2</c:v>
                </c:pt>
                <c:pt idx="4">
                  <c:v>7.5702631144159802E-2</c:v>
                </c:pt>
                <c:pt idx="5">
                  <c:v>9.3215949782391019E-2</c:v>
                </c:pt>
                <c:pt idx="6">
                  <c:v>0.11019055536974144</c:v>
                </c:pt>
                <c:pt idx="7">
                  <c:v>0.12663907027602339</c:v>
                </c:pt>
                <c:pt idx="8">
                  <c:v>0.14257384666608891</c:v>
                </c:pt>
                <c:pt idx="9">
                  <c:v>0.15800697206710657</c:v>
                </c:pt>
                <c:pt idx="10">
                  <c:v>0.17295027482314723</c:v>
                </c:pt>
                <c:pt idx="11">
                  <c:v>0.18741532943934092</c:v>
                </c:pt>
                <c:pt idx="12">
                  <c:v>0.2014134618178206</c:v>
                </c:pt>
                <c:pt idx="13">
                  <c:v>0.21495575438762532</c:v>
                </c:pt>
                <c:pt idx="14">
                  <c:v>0.22805305113069113</c:v>
                </c:pt>
                <c:pt idx="15">
                  <c:v>0.24071596250601615</c:v>
                </c:pt>
                <c:pt idx="16">
                  <c:v>0.25295487027404395</c:v>
                </c:pt>
                <c:pt idx="17">
                  <c:v>0.26477993222326895</c:v>
                </c:pt>
                <c:pt idx="18">
                  <c:v>0.27620108680102767</c:v>
                </c:pt>
                <c:pt idx="19">
                  <c:v>0.28722805765039899</c:v>
                </c:pt>
                <c:pt idx="20">
                  <c:v>0.29787035805510065</c:v>
                </c:pt>
                <c:pt idx="21">
                  <c:v>0.30813729529422929</c:v>
                </c:pt>
                <c:pt idx="22">
                  <c:v>0.31803797490865504</c:v>
                </c:pt>
                <c:pt idx="23">
                  <c:v>0.32758130488084591</c:v>
                </c:pt>
                <c:pt idx="24">
                  <c:v>0.33677599972986144</c:v>
                </c:pt>
                <c:pt idx="25">
                  <c:v>0.34563058452322015</c:v>
                </c:pt>
                <c:pt idx="26">
                  <c:v>0.35415339880731117</c:v>
                </c:pt>
                <c:pt idx="27">
                  <c:v>0.36235260045798773</c:v>
                </c:pt>
                <c:pt idx="28">
                  <c:v>0.37023616945294641</c:v>
                </c:pt>
                <c:pt idx="29">
                  <c:v>0.37781191156746469</c:v>
                </c:pt>
                <c:pt idx="30">
                  <c:v>0.38508746199503774</c:v>
                </c:pt>
                <c:pt idx="31">
                  <c:v>0.39207028889442441</c:v>
                </c:pt>
                <c:pt idx="32">
                  <c:v>0.39876769686458241</c:v>
                </c:pt>
                <c:pt idx="33">
                  <c:v>0.40518683034894271</c:v>
                </c:pt>
                <c:pt idx="34">
                  <c:v>0.41133467697044462</c:v>
                </c:pt>
                <c:pt idx="35">
                  <c:v>0.41721807079872419</c:v>
                </c:pt>
                <c:pt idx="36">
                  <c:v>0.42284369555082102</c:v>
                </c:pt>
                <c:pt idx="37">
                  <c:v>0.42821808772674119</c:v>
                </c:pt>
                <c:pt idx="38">
                  <c:v>0.43334763968118678</c:v>
                </c:pt>
                <c:pt idx="39">
                  <c:v>0.43823860263273684</c:v>
                </c:pt>
                <c:pt idx="40">
                  <c:v>0.44289708961173901</c:v>
                </c:pt>
                <c:pt idx="41">
                  <c:v>0.44732907834814506</c:v>
                </c:pt>
                <c:pt idx="42">
                  <c:v>0.45154041410049983</c:v>
                </c:pt>
                <c:pt idx="43">
                  <c:v>0.45553681242726796</c:v>
                </c:pt>
                <c:pt idx="44">
                  <c:v>0.45932386190165964</c:v>
                </c:pt>
                <c:pt idx="45">
                  <c:v>0.46290702677109402</c:v>
                </c:pt>
                <c:pt idx="46">
                  <c:v>0.46629164956241392</c:v>
                </c:pt>
                <c:pt idx="47">
                  <c:v>0.46948295363394588</c:v>
                </c:pt>
                <c:pt idx="48">
                  <c:v>0.47248604567547609</c:v>
                </c:pt>
                <c:pt idx="49">
                  <c:v>0.47530591815719142</c:v>
                </c:pt>
                <c:pt idx="50">
                  <c:v>0.47794745172861403</c:v>
                </c:pt>
                <c:pt idx="51">
                  <c:v>0.48041541756853778</c:v>
                </c:pt>
                <c:pt idx="52">
                  <c:v>0.48271447968695391</c:v>
                </c:pt>
                <c:pt idx="53">
                  <c:v>0.48484919717993324</c:v>
                </c:pt>
                <c:pt idx="54">
                  <c:v>0.48682402643841477</c:v>
                </c:pt>
                <c:pt idx="55">
                  <c:v>0.48864332331182886</c:v>
                </c:pt>
                <c:pt idx="56">
                  <c:v>0.49031134522746667</c:v>
                </c:pt>
                <c:pt idx="57">
                  <c:v>0.49183225326648783</c:v>
                </c:pt>
                <c:pt idx="58">
                  <c:v>0.49321011419744198</c:v>
                </c:pt>
                <c:pt idx="59">
                  <c:v>0.49444890246816059</c:v>
                </c:pt>
                <c:pt idx="60">
                  <c:v>0.49555250215685942</c:v>
                </c:pt>
                <c:pt idx="61">
                  <c:v>0.49652470888327499</c:v>
                </c:pt>
                <c:pt idx="62">
                  <c:v>0.49736923168064151</c:v>
                </c:pt>
                <c:pt idx="63">
                  <c:v>0.49808969482929899</c:v>
                </c:pt>
                <c:pt idx="64">
                  <c:v>0.49868963965270713</c:v>
                </c:pt>
                <c:pt idx="65">
                  <c:v>0.4991725262766244</c:v>
                </c:pt>
                <c:pt idx="66">
                  <c:v>0.49954173535219559</c:v>
                </c:pt>
                <c:pt idx="67">
                  <c:v>0.4998005697436782</c:v>
                </c:pt>
                <c:pt idx="68">
                  <c:v>0.49995225618152039</c:v>
                </c:pt>
                <c:pt idx="69">
                  <c:v>0.49999994688149213</c:v>
                </c:pt>
                <c:pt idx="70">
                  <c:v>0.49994672113055461</c:v>
                </c:pt>
                <c:pt idx="71">
                  <c:v>0.49979558684014064</c:v>
                </c:pt>
                <c:pt idx="72">
                  <c:v>0.4995494820675051</c:v>
                </c:pt>
                <c:pt idx="73">
                  <c:v>0.49921127650579017</c:v>
                </c:pt>
                <c:pt idx="74">
                  <c:v>0.49878377294343906</c:v>
                </c:pt>
                <c:pt idx="75">
                  <c:v>0.49826970869357762</c:v>
                </c:pt>
                <c:pt idx="76">
                  <c:v>0.49767175699397131</c:v>
                </c:pt>
                <c:pt idx="77">
                  <c:v>0.49699252837815316</c:v>
                </c:pt>
                <c:pt idx="78">
                  <c:v>0.49623457201830617</c:v>
                </c:pt>
                <c:pt idx="79">
                  <c:v>0.49540037704047141</c:v>
                </c:pt>
                <c:pt idx="80">
                  <c:v>0.49449237381264222</c:v>
                </c:pt>
                <c:pt idx="81">
                  <c:v>0.49351293520629408</c:v>
                </c:pt>
                <c:pt idx="82">
                  <c:v>0.49246437783188701</c:v>
                </c:pt>
                <c:pt idx="83">
                  <c:v>0.49134896324886868</c:v>
                </c:pt>
                <c:pt idx="84">
                  <c:v>0.49016889915069406</c:v>
                </c:pt>
                <c:pt idx="85">
                  <c:v>0.48892634052536832</c:v>
                </c:pt>
                <c:pt idx="86">
                  <c:v>0.48762339079200884</c:v>
                </c:pt>
                <c:pt idx="87">
                  <c:v>0.48626210291391225</c:v>
                </c:pt>
                <c:pt idx="88">
                  <c:v>0.48484448048860312</c:v>
                </c:pt>
                <c:pt idx="89">
                  <c:v>0.48337247881533085</c:v>
                </c:pt>
                <c:pt idx="90">
                  <c:v>0.48184800594047222</c:v>
                </c:pt>
                <c:pt idx="91">
                  <c:v>0.48027292368128766</c:v>
                </c:pt>
                <c:pt idx="92">
                  <c:v>0.47864904862847052</c:v>
                </c:pt>
                <c:pt idx="93">
                  <c:v>0.47697815312792002</c:v>
                </c:pt>
                <c:pt idx="94">
                  <c:v>0.47526196624215894</c:v>
                </c:pt>
                <c:pt idx="95">
                  <c:v>0.47350217469180966</c:v>
                </c:pt>
                <c:pt idx="96">
                  <c:v>0.47170042377753363</c:v>
                </c:pt>
                <c:pt idx="97">
                  <c:v>0.46985831828283081</c:v>
                </c:pt>
                <c:pt idx="98">
                  <c:v>0.4679774233580879</c:v>
                </c:pt>
                <c:pt idx="99">
                  <c:v>0.46605926538625647</c:v>
                </c:pt>
                <c:pt idx="100">
                  <c:v>0.46410533283053451</c:v>
                </c:pt>
                <c:pt idx="101">
                  <c:v>0.46211707706441679</c:v>
                </c:pt>
                <c:pt idx="102">
                  <c:v>0.46009591318447274</c:v>
                </c:pt>
                <c:pt idx="103">
                  <c:v>0.45804322080620319</c:v>
                </c:pt>
                <c:pt idx="104">
                  <c:v>0.45596034484332015</c:v>
                </c:pt>
                <c:pt idx="105">
                  <c:v>0.45384859627078694</c:v>
                </c:pt>
                <c:pt idx="106">
                  <c:v>0.45170925287194863</c:v>
                </c:pt>
                <c:pt idx="107">
                  <c:v>0.44954355997007767</c:v>
                </c:pt>
                <c:pt idx="108">
                  <c:v>0.44735273114465113</c:v>
                </c:pt>
                <c:pt idx="109">
                  <c:v>0.44513794893267083</c:v>
                </c:pt>
                <c:pt idx="110">
                  <c:v>0.44290036551533096</c:v>
                </c:pt>
                <c:pt idx="111">
                  <c:v>0.44064110339033197</c:v>
                </c:pt>
                <c:pt idx="112">
                  <c:v>0.43836125603013287</c:v>
                </c:pt>
                <c:pt idx="113">
                  <c:v>0.43606188852642902</c:v>
                </c:pt>
                <c:pt idx="114">
                  <c:v>0.43374403822113594</c:v>
                </c:pt>
                <c:pt idx="115">
                  <c:v>0.43140871532415437</c:v>
                </c:pt>
                <c:pt idx="116">
                  <c:v>0.42905690351818654</c:v>
                </c:pt>
                <c:pt idx="117">
                  <c:v>0.42668956055086765</c:v>
                </c:pt>
                <c:pt idx="118">
                  <c:v>0.42430761881447143</c:v>
                </c:pt>
                <c:pt idx="119">
                  <c:v>0.42191198591344387</c:v>
                </c:pt>
                <c:pt idx="120">
                  <c:v>0.41950354522001299</c:v>
                </c:pt>
                <c:pt idx="121">
                  <c:v>0.41708315641811888</c:v>
                </c:pt>
                <c:pt idx="122">
                  <c:v>0.41465165603590265</c:v>
                </c:pt>
                <c:pt idx="123">
                  <c:v>0.41220985796698745</c:v>
                </c:pt>
                <c:pt idx="124">
                  <c:v>0.40975855398078165</c:v>
                </c:pt>
                <c:pt idx="125">
                  <c:v>0.40729851422202801</c:v>
                </c:pt>
                <c:pt idx="126">
                  <c:v>0.40483048769981894</c:v>
                </c:pt>
                <c:pt idx="127">
                  <c:v>0.40235520276629372</c:v>
                </c:pt>
                <c:pt idx="128">
                  <c:v>0.39987336758522868</c:v>
                </c:pt>
                <c:pt idx="129">
                  <c:v>0.39738567059072694</c:v>
                </c:pt>
                <c:pt idx="130">
                  <c:v>0.39489278093621133</c:v>
                </c:pt>
                <c:pt idx="131">
                  <c:v>0.3923953489339182</c:v>
                </c:pt>
                <c:pt idx="132">
                  <c:v>0.38989400648508737</c:v>
                </c:pt>
                <c:pt idx="133">
                  <c:v>0.38738936750103869</c:v>
                </c:pt>
                <c:pt idx="134">
                  <c:v>0.38488202831532253</c:v>
                </c:pt>
                <c:pt idx="135">
                  <c:v>0.38237256808712655</c:v>
                </c:pt>
                <c:pt idx="136">
                  <c:v>0.37986154919611892</c:v>
                </c:pt>
                <c:pt idx="137">
                  <c:v>0.37734951762890306</c:v>
                </c:pt>
                <c:pt idx="138">
                  <c:v>0.37483700335725689</c:v>
                </c:pt>
                <c:pt idx="139">
                  <c:v>0.37232452070832484</c:v>
                </c:pt>
                <c:pt idx="140">
                  <c:v>0.3698125687269278</c:v>
                </c:pt>
                <c:pt idx="141">
                  <c:v>0.36730163153015355</c:v>
                </c:pt>
                <c:pt idx="142">
                  <c:v>0.36479217865438618</c:v>
                </c:pt>
                <c:pt idx="143">
                  <c:v>0.36228466539492971</c:v>
                </c:pt>
                <c:pt idx="144">
                  <c:v>0.35977953313837879</c:v>
                </c:pt>
                <c:pt idx="145">
                  <c:v>0.35727720968788518</c:v>
                </c:pt>
                <c:pt idx="146">
                  <c:v>0.35477810958146677</c:v>
                </c:pt>
                <c:pt idx="147">
                  <c:v>0.35228263440350238</c:v>
                </c:pt>
                <c:pt idx="148">
                  <c:v>0.34979117308955243</c:v>
                </c:pt>
                <c:pt idx="149">
                  <c:v>0.34730410222464325</c:v>
                </c:pt>
                <c:pt idx="150">
                  <c:v>0.34482178633515004</c:v>
                </c:pt>
                <c:pt idx="151">
                  <c:v>0.34234457817441</c:v>
                </c:pt>
                <c:pt idx="152">
                  <c:v>0.3398728190021954</c:v>
                </c:pt>
                <c:pt idx="153">
                  <c:v>0.3374068388581733</c:v>
                </c:pt>
                <c:pt idx="154">
                  <c:v>0.33494695682947601</c:v>
                </c:pt>
                <c:pt idx="155">
                  <c:v>0.332493481312504</c:v>
                </c:pt>
                <c:pt idx="156">
                  <c:v>0.33004671026908039</c:v>
                </c:pt>
                <c:pt idx="157">
                  <c:v>0.32760693147707393</c:v>
                </c:pt>
                <c:pt idx="158">
                  <c:v>0.32517442277560493</c:v>
                </c:pt>
                <c:pt idx="159">
                  <c:v>0.32274945230494595</c:v>
                </c:pt>
                <c:pt idx="160">
                  <c:v>0.32033227874122727</c:v>
                </c:pt>
                <c:pt idx="161">
                  <c:v>0.31792315152605516</c:v>
                </c:pt>
                <c:pt idx="162">
                  <c:v>0.31552231109114715</c:v>
                </c:pt>
                <c:pt idx="163">
                  <c:v>0.3131299890780892</c:v>
                </c:pt>
                <c:pt idx="164">
                  <c:v>0.31074640855331459</c:v>
                </c:pt>
                <c:pt idx="165">
                  <c:v>0.30837178421840417</c:v>
                </c:pt>
                <c:pt idx="166">
                  <c:v>0.30600632261580546</c:v>
                </c:pt>
                <c:pt idx="167">
                  <c:v>0.303650222330065</c:v>
                </c:pt>
                <c:pt idx="168">
                  <c:v>0.30130367418466764</c:v>
                </c:pt>
                <c:pt idx="169">
                  <c:v>0.29896686143457396</c:v>
                </c:pt>
                <c:pt idx="170">
                  <c:v>0.29663995995454534</c:v>
                </c:pt>
                <c:pt idx="171">
                  <c:v>0.29432313842334407</c:v>
                </c:pt>
                <c:pt idx="172">
                  <c:v>0.29201655850389474</c:v>
                </c:pt>
                <c:pt idx="173">
                  <c:v>0.28972037501949077</c:v>
                </c:pt>
                <c:pt idx="174">
                  <c:v>0.28743473612612819</c:v>
                </c:pt>
                <c:pt idx="175">
                  <c:v>0.28515978348104826</c:v>
                </c:pt>
                <c:pt idx="176">
                  <c:v>0.28289565240756714</c:v>
                </c:pt>
                <c:pt idx="177">
                  <c:v>0.28064247205627035</c:v>
                </c:pt>
                <c:pt idx="178">
                  <c:v>0.27840036556264824</c:v>
                </c:pt>
                <c:pt idx="179">
                  <c:v>0.27616945020124622</c:v>
                </c:pt>
                <c:pt idx="180">
                  <c:v>0.27394983753640317</c:v>
                </c:pt>
                <c:pt idx="181">
                  <c:v>0.27174163356964887</c:v>
                </c:pt>
                <c:pt idx="182">
                  <c:v>0.26954493888383074</c:v>
                </c:pt>
                <c:pt idx="183">
                  <c:v>0.26735984878403823</c:v>
                </c:pt>
                <c:pt idx="184">
                  <c:v>0.26518645343539166</c:v>
                </c:pt>
                <c:pt idx="185">
                  <c:v>0.26302483799776161</c:v>
                </c:pt>
                <c:pt idx="186">
                  <c:v>0.26087508275748306</c:v>
                </c:pt>
                <c:pt idx="187">
                  <c:v>0.25873726325612728</c:v>
                </c:pt>
                <c:pt idx="188">
                  <c:v>0.25661145041639333</c:v>
                </c:pt>
                <c:pt idx="189">
                  <c:v>0.2544977106651794</c:v>
                </c:pt>
                <c:pt idx="190">
                  <c:v>0.2523961060538939</c:v>
                </c:pt>
                <c:pt idx="191">
                  <c:v>0.25030669437606345</c:v>
                </c:pt>
                <c:pt idx="192">
                  <c:v>0.24822952928229544</c:v>
                </c:pt>
                <c:pt idx="193">
                  <c:v>0.24616466039265025</c:v>
                </c:pt>
                <c:pt idx="194">
                  <c:v>0.24411213340647828</c:v>
                </c:pt>
                <c:pt idx="195">
                  <c:v>0.24207199020977468</c:v>
                </c:pt>
                <c:pt idx="196">
                  <c:v>0.24004426898010467</c:v>
                </c:pt>
                <c:pt idx="197">
                  <c:v>0.23802900428915003</c:v>
                </c:pt>
                <c:pt idx="198">
                  <c:v>0.2360262272029279</c:v>
                </c:pt>
                <c:pt idx="199">
                  <c:v>0.23403596537973026</c:v>
                </c:pt>
                <c:pt idx="200">
                  <c:v>0.23205824316583284</c:v>
                </c:pt>
                <c:pt idx="201">
                  <c:v>0.2300930816890204</c:v>
                </c:pt>
                <c:pt idx="202">
                  <c:v>0.22814049894997465</c:v>
                </c:pt>
                <c:pt idx="203">
                  <c:v>0.22620050991157026</c:v>
                </c:pt>
                <c:pt idx="204">
                  <c:v>0.22427312658612311</c:v>
                </c:pt>
                <c:pt idx="205">
                  <c:v>0.22235835812063445</c:v>
                </c:pt>
                <c:pt idx="206">
                  <c:v>0.22045621088007325</c:v>
                </c:pt>
                <c:pt idx="207">
                  <c:v>0.21856668852873881</c:v>
                </c:pt>
                <c:pt idx="208">
                  <c:v>0.21668979210974412</c:v>
                </c:pt>
                <c:pt idx="209">
                  <c:v>0.21482552012266018</c:v>
                </c:pt>
                <c:pt idx="210">
                  <c:v>0.21297386859936021</c:v>
                </c:pt>
                <c:pt idx="211">
                  <c:v>0.21113483117810247</c:v>
                </c:pt>
                <c:pt idx="212">
                  <c:v>0.20930839917588909</c:v>
                </c:pt>
                <c:pt idx="213">
                  <c:v>0.20749456165913743</c:v>
                </c:pt>
                <c:pt idx="214">
                  <c:v>0.20569330551270065</c:v>
                </c:pt>
                <c:pt idx="215">
                  <c:v>0.20390461550727218</c:v>
                </c:pt>
                <c:pt idx="216">
                  <c:v>0.20212847436520898</c:v>
                </c:pt>
                <c:pt idx="217">
                  <c:v>0.2003648628248075</c:v>
                </c:pt>
                <c:pt idx="218">
                  <c:v>0.19861375970306536</c:v>
                </c:pt>
                <c:pt idx="219">
                  <c:v>0.19687514195696118</c:v>
                </c:pt>
                <c:pt idx="220">
                  <c:v>0.1951489847432846</c:v>
                </c:pt>
                <c:pt idx="221">
                  <c:v>0.19343526147704751</c:v>
                </c:pt>
                <c:pt idx="222">
                  <c:v>0.19173394388850701</c:v>
                </c:pt>
                <c:pt idx="223">
                  <c:v>0.19004500207882993</c:v>
                </c:pt>
                <c:pt idx="224">
                  <c:v>0.18836840457442838</c:v>
                </c:pt>
                <c:pt idx="225">
                  <c:v>0.18670411837999476</c:v>
                </c:pt>
                <c:pt idx="226">
                  <c:v>0.18505210903026437</c:v>
                </c:pt>
                <c:pt idx="227">
                  <c:v>0.18341234064053333</c:v>
                </c:pt>
                <c:pt idx="228">
                  <c:v>0.18178477595595821</c:v>
                </c:pt>
                <c:pt idx="229">
                  <c:v>0.1801693763996644</c:v>
                </c:pt>
                <c:pt idx="230">
                  <c:v>0.17856610211968857</c:v>
                </c:pt>
                <c:pt idx="231">
                  <c:v>0.17697491203478047</c:v>
                </c:pt>
                <c:pt idx="232">
                  <c:v>0.17539576387908931</c:v>
                </c:pt>
                <c:pt idx="233">
                  <c:v>0.17382861424575841</c:v>
                </c:pt>
                <c:pt idx="234">
                  <c:v>0.17227341862945217</c:v>
                </c:pt>
                <c:pt idx="235">
                  <c:v>0.17073013146783858</c:v>
                </c:pt>
                <c:pt idx="236">
                  <c:v>0.16919870618204996</c:v>
                </c:pt>
                <c:pt idx="237">
                  <c:v>0.16767909521614432</c:v>
                </c:pt>
                <c:pt idx="238">
                  <c:v>0.16617125007558903</c:v>
                </c:pt>
                <c:pt idx="239">
                  <c:v>0.16467512136478832</c:v>
                </c:pt>
                <c:pt idx="240">
                  <c:v>0.16319065882367553</c:v>
                </c:pt>
                <c:pt idx="241">
                  <c:v>0.16171781136339042</c:v>
                </c:pt>
                <c:pt idx="242">
                  <c:v>0.16025652710106192</c:v>
                </c:pt>
                <c:pt idx="243">
                  <c:v>0.15880675339371572</c:v>
                </c:pt>
                <c:pt idx="244">
                  <c:v>0.15736843687132604</c:v>
                </c:pt>
                <c:pt idx="245">
                  <c:v>0.15594152346903048</c:v>
                </c:pt>
                <c:pt idx="246">
                  <c:v>0.15452595845852618</c:v>
                </c:pt>
                <c:pt idx="247">
                  <c:v>0.15312168647866561</c:v>
                </c:pt>
                <c:pt idx="248">
                  <c:v>0.15172865156526963</c:v>
                </c:pt>
                <c:pt idx="249">
                  <c:v>0.15034679718017493</c:v>
                </c:pt>
                <c:pt idx="250">
                  <c:v>0.14897606623953308</c:v>
                </c:pt>
                <c:pt idx="251">
                  <c:v>0.14761640114137756</c:v>
                </c:pt>
                <c:pt idx="252">
                  <c:v>0.1462677437924752</c:v>
                </c:pt>
                <c:pt idx="253">
                  <c:v>0.14493003563447793</c:v>
                </c:pt>
                <c:pt idx="254">
                  <c:v>0.14360321766939005</c:v>
                </c:pt>
                <c:pt idx="255">
                  <c:v>0.14228723048436703</c:v>
                </c:pt>
                <c:pt idx="256">
                  <c:v>0.14098201427585999</c:v>
                </c:pt>
                <c:pt idx="257">
                  <c:v>0.13968750887312095</c:v>
                </c:pt>
                <c:pt idx="258">
                  <c:v>0.13840365376108291</c:v>
                </c:pt>
                <c:pt idx="259">
                  <c:v>0.13713038810262904</c:v>
                </c:pt>
                <c:pt idx="260">
                  <c:v>0.13586765076026447</c:v>
                </c:pt>
                <c:pt idx="261">
                  <c:v>0.13461538031720419</c:v>
                </c:pt>
                <c:pt idx="262">
                  <c:v>0.13337351509789011</c:v>
                </c:pt>
                <c:pt idx="263">
                  <c:v>0.13214199318795042</c:v>
                </c:pt>
                <c:pt idx="264">
                  <c:v>0.13092075245361343</c:v>
                </c:pt>
                <c:pt idx="265">
                  <c:v>0.12970973056058871</c:v>
                </c:pt>
                <c:pt idx="266">
                  <c:v>0.12850886499242717</c:v>
                </c:pt>
                <c:pt idx="267">
                  <c:v>0.12731809306837211</c:v>
                </c:pt>
                <c:pt idx="268">
                  <c:v>0.1261373519607128</c:v>
                </c:pt>
                <c:pt idx="269">
                  <c:v>0.12496657871165189</c:v>
                </c:pt>
                <c:pt idx="270">
                  <c:v>0.12380571024969772</c:v>
                </c:pt>
                <c:pt idx="271">
                  <c:v>0.12265468340559235</c:v>
                </c:pt>
                <c:pt idx="272">
                  <c:v>0.12151343492778605</c:v>
                </c:pt>
                <c:pt idx="273">
                  <c:v>0.12038190149746844</c:v>
                </c:pt>
                <c:pt idx="274">
                  <c:v>0.1192600197431667</c:v>
                </c:pt>
                <c:pt idx="275">
                  <c:v>0.11814772625492059</c:v>
                </c:pt>
                <c:pt idx="276">
                  <c:v>0.11704495759804415</c:v>
                </c:pt>
                <c:pt idx="277">
                  <c:v>0.11595165032648358</c:v>
                </c:pt>
                <c:pt idx="278">
                  <c:v>0.11486774099578068</c:v>
                </c:pt>
                <c:pt idx="279">
                  <c:v>0.11379316617565081</c:v>
                </c:pt>
                <c:pt idx="280">
                  <c:v>0.11272786246218468</c:v>
                </c:pt>
                <c:pt idx="281">
                  <c:v>0.11167176648968222</c:v>
                </c:pt>
                <c:pt idx="282">
                  <c:v>0.1106248149421276</c:v>
                </c:pt>
                <c:pt idx="283">
                  <c:v>0.10958694456431343</c:v>
                </c:pt>
                <c:pt idx="284">
                  <c:v>0.10855809217262243</c:v>
                </c:pt>
                <c:pt idx="285">
                  <c:v>0.10753819466547467</c:v>
                </c:pt>
                <c:pt idx="286">
                  <c:v>0.10652718903344828</c:v>
                </c:pt>
                <c:pt idx="287">
                  <c:v>0.10552501236908106</c:v>
                </c:pt>
                <c:pt idx="288">
                  <c:v>0.10453160187636075</c:v>
                </c:pt>
                <c:pt idx="289">
                  <c:v>0.10354689487991134</c:v>
                </c:pt>
                <c:pt idx="290">
                  <c:v>0.10257082883388235</c:v>
                </c:pt>
                <c:pt idx="291">
                  <c:v>0.10160334133054855</c:v>
                </c:pt>
                <c:pt idx="292">
                  <c:v>0.10064437010862648</c:v>
                </c:pt>
                <c:pt idx="293">
                  <c:v>9.9693853061315091E-2</c:v>
                </c:pt>
                <c:pt idx="294">
                  <c:v>9.8751728244066708E-2</c:v>
                </c:pt>
                <c:pt idx="295">
                  <c:v>9.7817933882094851E-2</c:v>
                </c:pt>
                <c:pt idx="296">
                  <c:v>9.6892408377625375E-2</c:v>
                </c:pt>
                <c:pt idx="297">
                  <c:v>9.5975090316896994E-2</c:v>
                </c:pt>
                <c:pt idx="298">
                  <c:v>9.5065918476917255E-2</c:v>
                </c:pt>
                <c:pt idx="299">
                  <c:v>9.4164831831979837E-2</c:v>
                </c:pt>
                <c:pt idx="300">
                  <c:v>9.3271769559949147E-2</c:v>
                </c:pt>
                <c:pt idx="301">
                  <c:v>9.2386671048317617E-2</c:v>
                </c:pt>
                <c:pt idx="302">
                  <c:v>9.1509475900041437E-2</c:v>
                </c:pt>
                <c:pt idx="303">
                  <c:v>9.06401239391601E-2</c:v>
                </c:pt>
                <c:pt idx="304">
                  <c:v>8.9778555216205008E-2</c:v>
                </c:pt>
                <c:pt idx="305">
                  <c:v>8.892471001340238E-2</c:v>
                </c:pt>
                <c:pt idx="306">
                  <c:v>8.8078528849675528E-2</c:v>
                </c:pt>
                <c:pt idx="307">
                  <c:v>8.7239952485451439E-2</c:v>
                </c:pt>
                <c:pt idx="308">
                  <c:v>8.6408921927276561E-2</c:v>
                </c:pt>
                <c:pt idx="309">
                  <c:v>8.5585378432246506E-2</c:v>
                </c:pt>
                <c:pt idx="310">
                  <c:v>8.476926351225432E-2</c:v>
                </c:pt>
                <c:pt idx="311">
                  <c:v>8.396051893806189E-2</c:v>
                </c:pt>
                <c:pt idx="312">
                  <c:v>8.3159086743198884E-2</c:v>
                </c:pt>
                <c:pt idx="313">
                  <c:v>8.2364909227693586E-2</c:v>
                </c:pt>
                <c:pt idx="314">
                  <c:v>8.1577928961640012E-2</c:v>
                </c:pt>
                <c:pt idx="315">
                  <c:v>8.079808878860513E-2</c:v>
                </c:pt>
                <c:pt idx="316">
                  <c:v>8.0025331828880622E-2</c:v>
                </c:pt>
                <c:pt idx="317">
                  <c:v>7.9259601482582945E-2</c:v>
                </c:pt>
                <c:pt idx="318">
                  <c:v>7.850084143260562E-2</c:v>
                </c:pt>
                <c:pt idx="319">
                  <c:v>7.7748995647427571E-2</c:v>
                </c:pt>
                <c:pt idx="320">
                  <c:v>7.7004008383781269E-2</c:v>
                </c:pt>
                <c:pt idx="321">
                  <c:v>7.626582418918415E-2</c:v>
                </c:pt>
                <c:pt idx="322">
                  <c:v>7.5534387904337114E-2</c:v>
                </c:pt>
                <c:pt idx="323">
                  <c:v>7.480964466539336E-2</c:v>
                </c:pt>
                <c:pt idx="324">
                  <c:v>7.4091539906101053E-2</c:v>
                </c:pt>
                <c:pt idx="325">
                  <c:v>7.3380019359823176E-2</c:v>
                </c:pt>
                <c:pt idx="326">
                  <c:v>7.2675029061437704E-2</c:v>
                </c:pt>
                <c:pt idx="327">
                  <c:v>7.1976515349121348E-2</c:v>
                </c:pt>
                <c:pt idx="328">
                  <c:v>7.1284424866020019E-2</c:v>
                </c:pt>
                <c:pt idx="329">
                  <c:v>7.0598704561808945E-2</c:v>
                </c:pt>
                <c:pt idx="330">
                  <c:v>6.9919301694145453E-2</c:v>
                </c:pt>
                <c:pt idx="331">
                  <c:v>6.9246163830017304E-2</c:v>
                </c:pt>
                <c:pt idx="332">
                  <c:v>6.8579238846989451E-2</c:v>
                </c:pt>
                <c:pt idx="333">
                  <c:v>6.7918474934351949E-2</c:v>
                </c:pt>
                <c:pt idx="334">
                  <c:v>6.7263820594171755E-2</c:v>
                </c:pt>
                <c:pt idx="335">
                  <c:v>6.6615224642251017E-2</c:v>
                </c:pt>
                <c:pt idx="336">
                  <c:v>6.5972636208994462E-2</c:v>
                </c:pt>
                <c:pt idx="337">
                  <c:v>6.5336004740188483E-2</c:v>
                </c:pt>
                <c:pt idx="338">
                  <c:v>6.4705279997694209E-2</c:v>
                </c:pt>
                <c:pt idx="339">
                  <c:v>6.4080412060057212E-2</c:v>
                </c:pt>
                <c:pt idx="340">
                  <c:v>6.3461351323036028E-2</c:v>
                </c:pt>
                <c:pt idx="341">
                  <c:v>6.2848048500051809E-2</c:v>
                </c:pt>
                <c:pt idx="342">
                  <c:v>6.2240454622561545E-2</c:v>
                </c:pt>
                <c:pt idx="343">
                  <c:v>6.1638521040356727E-2</c:v>
                </c:pt>
                <c:pt idx="344">
                  <c:v>6.1042199421789942E-2</c:v>
                </c:pt>
                <c:pt idx="345">
                  <c:v>6.0451441753931273E-2</c:v>
                </c:pt>
                <c:pt idx="346">
                  <c:v>5.9866200342656641E-2</c:v>
                </c:pt>
                <c:pt idx="347">
                  <c:v>5.9286427812670094E-2</c:v>
                </c:pt>
                <c:pt idx="348">
                  <c:v>5.871207710746195E-2</c:v>
                </c:pt>
                <c:pt idx="349">
                  <c:v>5.8143101489204811E-2</c:v>
                </c:pt>
                <c:pt idx="350">
                  <c:v>5.7579454538589175E-2</c:v>
                </c:pt>
                <c:pt idx="351">
                  <c:v>5.7021090154600593E-2</c:v>
                </c:pt>
                <c:pt idx="352">
                  <c:v>5.6467962554240095E-2</c:v>
                </c:pt>
                <c:pt idx="353">
                  <c:v>5.5920026272189609E-2</c:v>
                </c:pt>
                <c:pt idx="354">
                  <c:v>5.5377236160424136E-2</c:v>
                </c:pt>
                <c:pt idx="355">
                  <c:v>5.4839547387772289E-2</c:v>
                </c:pt>
                <c:pt idx="356">
                  <c:v>5.4306915439426805E-2</c:v>
                </c:pt>
                <c:pt idx="357">
                  <c:v>5.3779296116406687E-2</c:v>
                </c:pt>
                <c:pt idx="358">
                  <c:v>5.3256645534972426E-2</c:v>
                </c:pt>
                <c:pt idx="359">
                  <c:v>5.2738920125995882E-2</c:v>
                </c:pt>
                <c:pt idx="360">
                  <c:v>5.2226076634286279E-2</c:v>
                </c:pt>
                <c:pt idx="361">
                  <c:v>5.1718072117873722E-2</c:v>
                </c:pt>
                <c:pt idx="362">
                  <c:v>5.1214863947251672E-2</c:v>
                </c:pt>
                <c:pt idx="363">
                  <c:v>5.0716409804579761E-2</c:v>
                </c:pt>
                <c:pt idx="364">
                  <c:v>5.0222667682848242E-2</c:v>
                </c:pt>
                <c:pt idx="365">
                  <c:v>4.973359588500538E-2</c:v>
                </c:pt>
                <c:pt idx="366">
                  <c:v>4.9249153023049136E-2</c:v>
                </c:pt>
                <c:pt idx="367">
                  <c:v>4.8769298017084267E-2</c:v>
                </c:pt>
                <c:pt idx="368">
                  <c:v>4.8293990094346158E-2</c:v>
                </c:pt>
                <c:pt idx="369">
                  <c:v>4.7823188788192521E-2</c:v>
                </c:pt>
                <c:pt idx="370">
                  <c:v>4.7356853937064104E-2</c:v>
                </c:pt>
                <c:pt idx="371">
                  <c:v>4.6894945683415581E-2</c:v>
                </c:pt>
                <c:pt idx="372">
                  <c:v>4.6437424472617665E-2</c:v>
                </c:pt>
                <c:pt idx="373">
                  <c:v>4.5984251051831605E-2</c:v>
                </c:pt>
                <c:pt idx="374">
                  <c:v>4.5535386468856999E-2</c:v>
                </c:pt>
                <c:pt idx="375">
                  <c:v>4.5090792070954025E-2</c:v>
                </c:pt>
                <c:pt idx="376">
                  <c:v>4.4650429503641044E-2</c:v>
                </c:pt>
                <c:pt idx="377">
                  <c:v>4.42142607094686E-2</c:v>
                </c:pt>
                <c:pt idx="378">
                  <c:v>4.3782247926770691E-2</c:v>
                </c:pt>
                <c:pt idx="379">
                  <c:v>4.3354353688394263E-2</c:v>
                </c:pt>
                <c:pt idx="380">
                  <c:v>4.2930540820407863E-2</c:v>
                </c:pt>
                <c:pt idx="381">
                  <c:v>4.2510772440790268E-2</c:v>
                </c:pt>
                <c:pt idx="382">
                  <c:v>4.2095011958099976E-2</c:v>
                </c:pt>
                <c:pt idx="383">
                  <c:v>4.1683223070126403E-2</c:v>
                </c:pt>
                <c:pt idx="384">
                  <c:v>4.1275369762523585E-2</c:v>
                </c:pt>
                <c:pt idx="385">
                  <c:v>4.0871416307427133E-2</c:v>
                </c:pt>
                <c:pt idx="386">
                  <c:v>4.0471327262055323E-2</c:v>
                </c:pt>
                <c:pt idx="387">
                  <c:v>4.0075067467294952E-2</c:v>
                </c:pt>
                <c:pt idx="388">
                  <c:v>3.9682602046272768E-2</c:v>
                </c:pt>
                <c:pt idx="389">
                  <c:v>3.9293896402913156E-2</c:v>
                </c:pt>
                <c:pt idx="390">
                  <c:v>3.8908916220482787E-2</c:v>
                </c:pt>
                <c:pt idx="391">
                  <c:v>3.8527627460122907E-2</c:v>
                </c:pt>
                <c:pt idx="392">
                  <c:v>3.8149996359369914E-2</c:v>
                </c:pt>
                <c:pt idx="393">
                  <c:v>3.7775989430664868E-2</c:v>
                </c:pt>
                <c:pt idx="394">
                  <c:v>3.7405573459852591E-2</c:v>
                </c:pt>
                <c:pt idx="395">
                  <c:v>3.7038715504670895E-2</c:v>
                </c:pt>
                <c:pt idx="396">
                  <c:v>3.6675382893230621E-2</c:v>
                </c:pt>
                <c:pt idx="397">
                  <c:v>3.6315543222486979E-2</c:v>
                </c:pt>
                <c:pt idx="398">
                  <c:v>3.5959164356702822E-2</c:v>
                </c:pt>
                <c:pt idx="399">
                  <c:v>3.5606214425904337E-2</c:v>
                </c:pt>
                <c:pt idx="400">
                  <c:v>3.5256661824329738E-2</c:v>
                </c:pt>
                <c:pt idx="401">
                  <c:v>3.4910475208871472E-2</c:v>
                </c:pt>
                <c:pt idx="402">
                  <c:v>3.4567623497512363E-2</c:v>
                </c:pt>
                <c:pt idx="403">
                  <c:v>3.4228075867756322E-2</c:v>
                </c:pt>
                <c:pt idx="404">
                  <c:v>3.3891801755053984E-2</c:v>
                </c:pt>
                <c:pt idx="405">
                  <c:v>3.3558770851223767E-2</c:v>
                </c:pt>
                <c:pt idx="406">
                  <c:v>3.3228953102868809E-2</c:v>
                </c:pt>
                <c:pt idx="407">
                  <c:v>3.2902318709790282E-2</c:v>
                </c:pt>
                <c:pt idx="408">
                  <c:v>3.2578838123397326E-2</c:v>
                </c:pt>
                <c:pt idx="409">
                  <c:v>3.2258482045114271E-2</c:v>
                </c:pt>
                <c:pt idx="410">
                  <c:v>3.1941221424785324E-2</c:v>
                </c:pt>
                <c:pt idx="411">
                  <c:v>3.1627027459077237E-2</c:v>
                </c:pt>
                <c:pt idx="412">
                  <c:v>3.1315871589880286E-2</c:v>
                </c:pt>
                <c:pt idx="413">
                  <c:v>3.1007725502707969E-2</c:v>
                </c:pt>
                <c:pt idx="414">
                  <c:v>3.0702561125095715E-2</c:v>
                </c:pt>
                <c:pt idx="415">
                  <c:v>3.0400350624999031E-2</c:v>
                </c:pt>
                <c:pt idx="416">
                  <c:v>3.0101066409191343E-2</c:v>
                </c:pt>
                <c:pt idx="417">
                  <c:v>2.980468112166193E-2</c:v>
                </c:pt>
                <c:pt idx="418">
                  <c:v>2.9511167642014221E-2</c:v>
                </c:pt>
                <c:pt idx="419">
                  <c:v>2.9220499083864766E-2</c:v>
                </c:pt>
                <c:pt idx="420">
                  <c:v>2.8932648793243219E-2</c:v>
                </c:pt>
                <c:pt idx="421">
                  <c:v>2.8647590346993566E-2</c:v>
                </c:pt>
                <c:pt idx="422">
                  <c:v>2.8365297551176925E-2</c:v>
                </c:pt>
                <c:pt idx="423">
                  <c:v>2.8085744439476146E-2</c:v>
                </c:pt>
                <c:pt idx="424">
                  <c:v>2.7808905271602537E-2</c:v>
                </c:pt>
                <c:pt idx="425">
                  <c:v>2.7534754531704893E-2</c:v>
                </c:pt>
                <c:pt idx="426">
                  <c:v>2.7263266926781139E-2</c:v>
                </c:pt>
                <c:pt idx="427">
                  <c:v>2.6994417385092798E-2</c:v>
                </c:pt>
                <c:pt idx="428">
                  <c:v>2.6728181054582509E-2</c:v>
                </c:pt>
                <c:pt idx="429">
                  <c:v>2.6464533301294842E-2</c:v>
                </c:pt>
                <c:pt idx="430">
                  <c:v>2.6203449707800617E-2</c:v>
                </c:pt>
                <c:pt idx="431">
                  <c:v>2.5944906071624911E-2</c:v>
                </c:pt>
                <c:pt idx="432">
                  <c:v>2.5688878403679005E-2</c:v>
                </c:pt>
                <c:pt idx="433">
                  <c:v>2.5435342926696428E-2</c:v>
                </c:pt>
                <c:pt idx="434">
                  <c:v>2.5184276073673299E-2</c:v>
                </c:pt>
                <c:pt idx="435">
                  <c:v>2.4935654486313148E-2</c:v>
                </c:pt>
                <c:pt idx="436">
                  <c:v>2.4689455013476403E-2</c:v>
                </c:pt>
                <c:pt idx="437">
                  <c:v>2.4445654709634702E-2</c:v>
                </c:pt>
                <c:pt idx="438">
                  <c:v>2.4204230833330186E-2</c:v>
                </c:pt>
                <c:pt idx="439">
                  <c:v>2.396516084563996E-2</c:v>
                </c:pt>
                <c:pt idx="440">
                  <c:v>2.3728422408645838E-2</c:v>
                </c:pt>
                <c:pt idx="441">
                  <c:v>2.3493993383909558E-2</c:v>
                </c:pt>
                <c:pt idx="442">
                  <c:v>2.326185183095357E-2</c:v>
                </c:pt>
                <c:pt idx="443">
                  <c:v>2.3031976005747572E-2</c:v>
                </c:pt>
                <c:pt idx="444">
                  <c:v>2.2804344359200871E-2</c:v>
                </c:pt>
                <c:pt idx="445">
                  <c:v>2.2578935535660774E-2</c:v>
                </c:pt>
                <c:pt idx="446">
                  <c:v>2.2355728371417041E-2</c:v>
                </c:pt>
                <c:pt idx="447">
                  <c:v>2.2134701893212604E-2</c:v>
                </c:pt>
                <c:pt idx="448">
                  <c:v>2.1915835316760564E-2</c:v>
                </c:pt>
                <c:pt idx="449">
                  <c:v>2.1699108045267691E-2</c:v>
                </c:pt>
                <c:pt idx="450">
                  <c:v>2.1484499667964421E-2</c:v>
                </c:pt>
                <c:pt idx="451">
                  <c:v>2.1271989958641511E-2</c:v>
                </c:pt>
                <c:pt idx="452">
                  <c:v>2.1061558874193431E-2</c:v>
                </c:pt>
                <c:pt idx="453">
                  <c:v>2.085318655316858E-2</c:v>
                </c:pt>
                <c:pt idx="454">
                  <c:v>2.0646853314326405E-2</c:v>
                </c:pt>
                <c:pt idx="455">
                  <c:v>2.0442539655201531E-2</c:v>
                </c:pt>
                <c:pt idx="456">
                  <c:v>2.0240226250674943E-2</c:v>
                </c:pt>
                <c:pt idx="457">
                  <c:v>2.0039893951552312E-2</c:v>
                </c:pt>
                <c:pt idx="458">
                  <c:v>1.9841523783149566E-2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25-4083-8CD4-2874601F9B67}"/>
            </c:ext>
          </c:extLst>
        </c:ser>
        <c:ser>
          <c:idx val="2"/>
          <c:order val="2"/>
          <c:tx>
            <c:strRef>
              <c:f>'DTMC - No Repair'!$I$1</c:f>
              <c:strCache>
                <c:ptCount val="1"/>
                <c:pt idx="0">
                  <c:v>Pr(S0)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'DTMC - No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No Repair'!$I$2:$I$460</c:f>
              <c:numCache>
                <c:formatCode>0.00%</c:formatCode>
                <c:ptCount val="459"/>
                <c:pt idx="0">
                  <c:v>0</c:v>
                </c:pt>
                <c:pt idx="1">
                  <c:v>1E-4</c:v>
                </c:pt>
                <c:pt idx="2">
                  <c:v>3.9601000000000003E-4</c:v>
                </c:pt>
                <c:pt idx="3">
                  <c:v>8.8214940099999996E-4</c:v>
                </c:pt>
                <c:pt idx="4">
                  <c:v>1.5526744279200999E-3</c:v>
                </c:pt>
                <c:pt idx="5">
                  <c:v>2.40197520880449E-3</c:v>
                </c:pt>
                <c:pt idx="6">
                  <c:v>3.4245729141292808E-3</c:v>
                </c:pt>
                <c:pt idx="7">
                  <c:v>4.6151169549983086E-3</c:v>
                </c:pt>
                <c:pt idx="8">
                  <c:v>5.9683822390354403E-3</c:v>
                </c:pt>
                <c:pt idx="9">
                  <c:v>7.4792664828058171E-3</c:v>
                </c:pt>
                <c:pt idx="10">
                  <c:v>9.1427875796218916E-3</c:v>
                </c:pt>
                <c:pt idx="11">
                  <c:v>1.0954081021613087E-2</c:v>
                </c:pt>
                <c:pt idx="12">
                  <c:v>1.2908397374960402E-2</c:v>
                </c:pt>
                <c:pt idx="13">
                  <c:v>1.500109980721933E-2</c:v>
                </c:pt>
                <c:pt idx="14">
                  <c:v>1.7227661665676099E-2</c:v>
                </c:pt>
                <c:pt idx="15">
                  <c:v>1.9583664105703374E-2</c:v>
                </c:pt>
                <c:pt idx="16">
                  <c:v>2.2064793768102362E-2</c:v>
                </c:pt>
                <c:pt idx="17">
                  <c:v>2.4666840504438587E-2</c:v>
                </c:pt>
                <c:pt idx="18">
                  <c:v>2.7385695149398506E-2</c:v>
                </c:pt>
                <c:pt idx="19">
                  <c:v>3.0217347339213739E-2</c:v>
                </c:pt>
                <c:pt idx="20">
                  <c:v>3.3157883375218765E-2</c:v>
                </c:pt>
                <c:pt idx="21">
                  <c:v>3.6203484131626738E-2</c:v>
                </c:pt>
                <c:pt idx="22">
                  <c:v>3.9350423006626445E-2</c:v>
                </c:pt>
                <c:pt idx="23">
                  <c:v>4.2595063915921466E-2</c:v>
                </c:pt>
                <c:pt idx="24">
                  <c:v>4.5933859327850247E-2</c:v>
                </c:pt>
                <c:pt idx="25">
                  <c:v>4.9363348339243093E-2</c:v>
                </c:pt>
                <c:pt idx="26">
                  <c:v>5.288015479118905E-2</c:v>
                </c:pt>
                <c:pt idx="27">
                  <c:v>5.6480985423902313E-2</c:v>
                </c:pt>
                <c:pt idx="28">
                  <c:v>6.0162628069894003E-2</c:v>
                </c:pt>
                <c:pt idx="29">
                  <c:v>6.3921949884671189E-2</c:v>
                </c:pt>
                <c:pt idx="30">
                  <c:v>6.7755895614200617E-2</c:v>
                </c:pt>
                <c:pt idx="31">
                  <c:v>7.1661485898390068E-2</c:v>
                </c:pt>
                <c:pt idx="32">
                  <c:v>7.5635815609855037E-2</c:v>
                </c:pt>
                <c:pt idx="33">
                  <c:v>7.9676052227253422E-2</c:v>
                </c:pt>
                <c:pt idx="34">
                  <c:v>8.3779434242485226E-2</c:v>
                </c:pt>
                <c:pt idx="35">
                  <c:v>8.794326960106838E-2</c:v>
                </c:pt>
                <c:pt idx="36">
                  <c:v>9.2164934175015645E-2</c:v>
                </c:pt>
                <c:pt idx="37">
                  <c:v>9.6441870267551272E-2</c:v>
                </c:pt>
                <c:pt idx="38">
                  <c:v>0.10077158514901925</c:v>
                </c:pt>
                <c:pt idx="39">
                  <c:v>0.1051516496233481</c:v>
                </c:pt>
                <c:pt idx="40">
                  <c:v>0.10957969662444986</c:v>
                </c:pt>
                <c:pt idx="41">
                  <c:v>0.11405341984194363</c:v>
                </c:pt>
                <c:pt idx="42">
                  <c:v>0.11857057237560607</c:v>
                </c:pt>
                <c:pt idx="43">
                  <c:v>0.12312896541796346</c:v>
                </c:pt>
                <c:pt idx="44">
                  <c:v>0.12772646696445161</c:v>
                </c:pt>
                <c:pt idx="45">
                  <c:v>0.13236100055058159</c:v>
                </c:pt>
                <c:pt idx="46">
                  <c:v>0.13703054401556036</c:v>
                </c:pt>
                <c:pt idx="47">
                  <c:v>0.14173312829182672</c:v>
                </c:pt>
                <c:pt idx="48">
                  <c:v>0.14646683621997358</c:v>
                </c:pt>
                <c:pt idx="49">
                  <c:v>0.15122980138853881</c:v>
                </c:pt>
                <c:pt idx="50">
                  <c:v>0.15602020699815616</c:v>
                </c:pt>
                <c:pt idx="51">
                  <c:v>0.16083628474956962</c:v>
                </c:pt>
                <c:pt idx="52">
                  <c:v>0.1656763137550232</c:v>
                </c:pt>
                <c:pt idx="53">
                  <c:v>0.17053861947254853</c:v>
                </c:pt>
                <c:pt idx="54">
                  <c:v>0.1754215726626826</c:v>
                </c:pt>
                <c:pt idx="55">
                  <c:v>0.18032358836715665</c:v>
                </c:pt>
                <c:pt idx="56">
                  <c:v>0.18524312490910705</c:v>
                </c:pt>
                <c:pt idx="57">
                  <c:v>0.19017868291436807</c:v>
                </c:pt>
                <c:pt idx="58">
                  <c:v>0.19512880435341487</c:v>
                </c:pt>
                <c:pt idx="59">
                  <c:v>0.20009207160353421</c:v>
                </c:pt>
                <c:pt idx="60">
                  <c:v>0.20506710653080865</c:v>
                </c:pt>
                <c:pt idx="61">
                  <c:v>0.21005256959150848</c:v>
                </c:pt>
                <c:pt idx="62">
                  <c:v>0.21504715895249374</c:v>
                </c:pt>
                <c:pt idx="63">
                  <c:v>0.22004960963023684</c:v>
                </c:pt>
                <c:pt idx="64">
                  <c:v>0.22505869264808387</c:v>
                </c:pt>
                <c:pt idx="65">
                  <c:v>0.23007321421138086</c:v>
                </c:pt>
                <c:pt idx="66">
                  <c:v>0.23509201490009829</c:v>
                </c:pt>
                <c:pt idx="67">
                  <c:v>0.24011396887859501</c:v>
                </c:pt>
                <c:pt idx="68">
                  <c:v>0.24513798312216956</c:v>
                </c:pt>
                <c:pt idx="69">
                  <c:v>0.25016299666005437</c:v>
                </c:pt>
                <c:pt idx="70">
                  <c:v>0.25518797983451513</c:v>
                </c:pt>
                <c:pt idx="71">
                  <c:v>0.2602119335757242</c:v>
                </c:pt>
                <c:pt idx="72">
                  <c:v>0.26523388869208403</c:v>
                </c:pt>
                <c:pt idx="73">
                  <c:v>0.27025290517568312</c:v>
                </c:pt>
                <c:pt idx="74">
                  <c:v>0.27526807152257288</c:v>
                </c:pt>
                <c:pt idx="75">
                  <c:v>0.28027850406756066</c:v>
                </c:pt>
                <c:pt idx="76">
                  <c:v>0.28528334633322033</c:v>
                </c:pt>
                <c:pt idx="77">
                  <c:v>0.29028176839282732</c:v>
                </c:pt>
                <c:pt idx="78">
                  <c:v>0.29527296624693178</c:v>
                </c:pt>
                <c:pt idx="79">
                  <c:v>0.3002561612132883</c:v>
                </c:pt>
                <c:pt idx="80">
                  <c:v>0.30523059932986762</c:v>
                </c:pt>
                <c:pt idx="81">
                  <c:v>0.31019555077067978</c:v>
                </c:pt>
                <c:pt idx="82">
                  <c:v>0.315150309274145</c:v>
                </c:pt>
                <c:pt idx="83">
                  <c:v>0.3200941915837533</c:v>
                </c:pt>
                <c:pt idx="84">
                  <c:v>0.32502653690075872</c:v>
                </c:pt>
                <c:pt idx="85">
                  <c:v>0.32994670634866052</c:v>
                </c:pt>
                <c:pt idx="86">
                  <c:v>0.33485408244922682</c:v>
                </c:pt>
                <c:pt idx="87">
                  <c:v>0.33974806860982276</c:v>
                </c:pt>
                <c:pt idx="88">
                  <c:v>0.34462808862180949</c:v>
                </c:pt>
                <c:pt idx="89">
                  <c:v>0.34949358616978449</c:v>
                </c:pt>
                <c:pt idx="90">
                  <c:v>0.3543440243514393</c:v>
                </c:pt>
                <c:pt idx="91">
                  <c:v>0.35917888520781482</c:v>
                </c:pt>
                <c:pt idx="92">
                  <c:v>0.36399766926373878</c:v>
                </c:pt>
                <c:pt idx="93">
                  <c:v>0.36879989507823424</c:v>
                </c:pt>
                <c:pt idx="94">
                  <c:v>0.37358509880469282</c:v>
                </c:pt>
                <c:pt idx="95">
                  <c:v>0.37835283376060974</c:v>
                </c:pt>
                <c:pt idx="96">
                  <c:v>0.38310267000668258</c:v>
                </c:pt>
                <c:pt idx="97">
                  <c:v>0.38783419393507951</c:v>
                </c:pt>
                <c:pt idx="98">
                  <c:v>0.392547007866686</c:v>
                </c:pt>
                <c:pt idx="99">
                  <c:v>0.39724072965714441</c:v>
                </c:pt>
                <c:pt idx="100">
                  <c:v>0.40191499231150263</c:v>
                </c:pt>
                <c:pt idx="101">
                  <c:v>0.40656944360729375</c:v>
                </c:pt>
                <c:pt idx="102">
                  <c:v>0.41120374572587076</c:v>
                </c:pt>
                <c:pt idx="103">
                  <c:v>0.41581757489182447</c:v>
                </c:pt>
                <c:pt idx="104">
                  <c:v>0.42041062102031668</c:v>
                </c:pt>
                <c:pt idx="105">
                  <c:v>0.42498258737216349</c:v>
                </c:pt>
                <c:pt idx="106">
                  <c:v>0.42953319021650704</c:v>
                </c:pt>
                <c:pt idx="107">
                  <c:v>0.43406215850091767</c:v>
                </c:pt>
                <c:pt idx="108">
                  <c:v>0.43856923352877136</c:v>
                </c:pt>
                <c:pt idx="109">
                  <c:v>0.44305416864375052</c:v>
                </c:pt>
                <c:pt idx="110">
                  <c:v>0.44751672892131961</c:v>
                </c:pt>
                <c:pt idx="111">
                  <c:v>0.45195669086702928</c:v>
                </c:pt>
                <c:pt idx="112">
                  <c:v>0.45637384212150683</c:v>
                </c:pt>
                <c:pt idx="113">
                  <c:v>0.46076798117199302</c:v>
                </c:pt>
                <c:pt idx="114">
                  <c:v>0.46513891707028748</c:v>
                </c:pt>
                <c:pt idx="115">
                  <c:v>0.46948646915696968</c:v>
                </c:pt>
                <c:pt idx="116">
                  <c:v>0.47381046679176309</c:v>
                </c:pt>
                <c:pt idx="117">
                  <c:v>0.47811074908991397</c:v>
                </c:pt>
                <c:pt idx="118">
                  <c:v>0.48238716466445858</c:v>
                </c:pt>
                <c:pt idx="119">
                  <c:v>0.4866395713742554</c:v>
                </c:pt>
                <c:pt idx="120">
                  <c:v>0.49086783607766105</c:v>
                </c:pt>
                <c:pt idx="121">
                  <c:v>0.49507183439173141</c:v>
                </c:pt>
                <c:pt idx="122">
                  <c:v>0.49925145045683161</c:v>
                </c:pt>
                <c:pt idx="123">
                  <c:v>0.50340657670654132</c:v>
                </c:pt>
                <c:pt idx="124">
                  <c:v>0.50753711364274379</c:v>
                </c:pt>
                <c:pt idx="125">
                  <c:v>0.51164296961578926</c:v>
                </c:pt>
                <c:pt idx="126">
                  <c:v>0.51572406060962572</c:v>
                </c:pt>
                <c:pt idx="127">
                  <c:v>0.51978031003179292</c:v>
                </c:pt>
                <c:pt idx="128">
                  <c:v>0.52381164850817608</c:v>
                </c:pt>
                <c:pt idx="129">
                  <c:v>0.52781801368241898</c:v>
                </c:pt>
                <c:pt idx="130">
                  <c:v>0.53179935001989898</c:v>
                </c:pt>
                <c:pt idx="131">
                  <c:v>0.53575560861616545</c:v>
                </c:pt>
                <c:pt idx="132">
                  <c:v>0.53968674700974961</c:v>
                </c:pt>
                <c:pt idx="133">
                  <c:v>0.54359272899925104</c:v>
                </c:pt>
                <c:pt idx="134">
                  <c:v>0.54747352446461139</c:v>
                </c:pt>
                <c:pt idx="135">
                  <c:v>0.55132910919248668</c:v>
                </c:pt>
                <c:pt idx="136">
                  <c:v>0.55515946470562993</c:v>
                </c:pt>
                <c:pt idx="137">
                  <c:v>0.55896457809620093</c:v>
                </c:pt>
                <c:pt idx="138">
                  <c:v>0.5627444418629175</c:v>
                </c:pt>
                <c:pt idx="139">
                  <c:v>0.56649905375196807</c:v>
                </c:pt>
                <c:pt idx="140">
                  <c:v>0.57022841660160528</c:v>
                </c:pt>
                <c:pt idx="141">
                  <c:v>0.57393253819034173</c:v>
                </c:pt>
                <c:pt idx="142">
                  <c:v>0.57761143108867119</c:v>
                </c:pt>
                <c:pt idx="143">
                  <c:v>0.58126511251424073</c:v>
                </c:pt>
                <c:pt idx="144">
                  <c:v>0.58489360419039915</c:v>
                </c:pt>
                <c:pt idx="145">
                  <c:v>0.58849693220805011</c:v>
                </c:pt>
                <c:pt idx="146">
                  <c:v>0.59207512689073938</c:v>
                </c:pt>
                <c:pt idx="147">
                  <c:v>0.59562822266290683</c:v>
                </c:pt>
                <c:pt idx="148">
                  <c:v>0.59915625792123517</c:v>
                </c:pt>
                <c:pt idx="149">
                  <c:v>0.6026592749090296</c:v>
                </c:pt>
                <c:pt idx="150">
                  <c:v>0.60613731959356265</c:v>
                </c:pt>
                <c:pt idx="151">
                  <c:v>0.60959044154632125</c:v>
                </c:pt>
                <c:pt idx="152">
                  <c:v>0.61301869382609331</c:v>
                </c:pt>
                <c:pt idx="153">
                  <c:v>0.61642213286483238</c:v>
                </c:pt>
                <c:pt idx="154">
                  <c:v>0.61980081835624179</c:v>
                </c:pt>
                <c:pt idx="155">
                  <c:v>0.62315481314701793</c:v>
                </c:pt>
                <c:pt idx="156">
                  <c:v>0.62648418313069698</c:v>
                </c:pt>
                <c:pt idx="157">
                  <c:v>0.62978899714404779</c:v>
                </c:pt>
                <c:pt idx="158">
                  <c:v>0.63306932686595641</c:v>
                </c:pt>
                <c:pt idx="159">
                  <c:v>0.63632524671874835</c:v>
                </c:pt>
                <c:pt idx="160">
                  <c:v>0.63955683377189543</c:v>
                </c:pt>
                <c:pt idx="161">
                  <c:v>0.64276416764805644</c:v>
                </c:pt>
                <c:pt idx="162">
                  <c:v>0.64594733043139962</c:v>
                </c:pt>
                <c:pt idx="163">
                  <c:v>0.64910640657815888</c:v>
                </c:pt>
                <c:pt idx="164">
                  <c:v>0.65224148282937411</c:v>
                </c:pt>
                <c:pt idx="165">
                  <c:v>0.65535264812576899</c:v>
                </c:pt>
                <c:pt idx="166">
                  <c:v>0.6584399935247186</c:v>
                </c:pt>
                <c:pt idx="167">
                  <c:v>0.66150361211926256</c:v>
                </c:pt>
                <c:pt idx="168">
                  <c:v>0.6645435989591183</c:v>
                </c:pt>
                <c:pt idx="169">
                  <c:v>0.66756005097365056</c:v>
                </c:pt>
                <c:pt idx="170">
                  <c:v>0.67055306689675553</c:v>
                </c:pt>
                <c:pt idx="171">
                  <c:v>0.67352274719361582</c:v>
                </c:pt>
                <c:pt idx="172">
                  <c:v>0.67646919398928762</c:v>
                </c:pt>
                <c:pt idx="173">
                  <c:v>0.67939251099907727</c:v>
                </c:pt>
                <c:pt idx="174">
                  <c:v>0.68229280346067034</c:v>
                </c:pt>
                <c:pt idx="175">
                  <c:v>0.68517017806797298</c:v>
                </c:pt>
                <c:pt idx="176">
                  <c:v>0.68802474290662852</c:v>
                </c:pt>
                <c:pt idx="177">
                  <c:v>0.69085660739117272</c:v>
                </c:pt>
                <c:pt idx="178">
                  <c:v>0.69366588220379066</c:v>
                </c:pt>
                <c:pt idx="179">
                  <c:v>0.69645267923464049</c:v>
                </c:pt>
                <c:pt idx="180">
                  <c:v>0.69921711152370936</c:v>
                </c:pt>
                <c:pt idx="181">
                  <c:v>0.70195929320416739</c:v>
                </c:pt>
                <c:pt idx="182">
                  <c:v>0.70467933944718653</c:v>
                </c:pt>
                <c:pt idx="183">
                  <c:v>0.70737736640819171</c:v>
                </c:pt>
                <c:pt idx="184">
                  <c:v>0.71005349117451289</c:v>
                </c:pt>
                <c:pt idx="185">
                  <c:v>0.71270783171440577</c:v>
                </c:pt>
                <c:pt idx="186">
                  <c:v>0.71534050682741213</c:v>
                </c:pt>
                <c:pt idx="187">
                  <c:v>0.71795163609602841</c:v>
                </c:pt>
                <c:pt idx="188">
                  <c:v>0.72054133983865443</c:v>
                </c:pt>
                <c:pt idx="189">
                  <c:v>0.72310973906379283</c:v>
                </c:pt>
                <c:pt idx="190">
                  <c:v>0.72565695542547171</c:v>
                </c:pt>
                <c:pt idx="191">
                  <c:v>0.72818311117986267</c:v>
                </c:pt>
                <c:pt idx="192">
                  <c:v>0.73068832914306769</c:v>
                </c:pt>
                <c:pt idx="193">
                  <c:v>0.73317273265004812</c:v>
                </c:pt>
                <c:pt idx="194">
                  <c:v>0.73563644551467033</c:v>
                </c:pt>
                <c:pt idx="195">
                  <c:v>0.73807959199084305</c:v>
                </c:pt>
                <c:pt idx="196">
                  <c:v>0.74050229673472079</c:v>
                </c:pt>
                <c:pt idx="197">
                  <c:v>0.74290468476795035</c:v>
                </c:pt>
                <c:pt idx="198">
                  <c:v>0.74528688144193611</c:v>
                </c:pt>
                <c:pt idx="199">
                  <c:v>0.74764901240310089</c:v>
                </c:pt>
                <c:pt idx="200">
                  <c:v>0.74999120355911986</c:v>
                </c:pt>
                <c:pt idx="201">
                  <c:v>0.75231358104610568</c:v>
                </c:pt>
                <c:pt idx="202">
                  <c:v>0.75461627119672237</c:v>
                </c:pt>
                <c:pt idx="203">
                  <c:v>0.75689940050920745</c:v>
                </c:pt>
                <c:pt idx="204">
                  <c:v>0.75916309561728113</c:v>
                </c:pt>
                <c:pt idx="205">
                  <c:v>0.761407483260922</c:v>
                </c:pt>
                <c:pt idx="206">
                  <c:v>0.76363269025799019</c:v>
                </c:pt>
                <c:pt idx="207">
                  <c:v>0.76583884347667708</c:v>
                </c:pt>
                <c:pt idx="208">
                  <c:v>0.76802606980876398</c:v>
                </c:pt>
                <c:pt idx="209">
                  <c:v>0.77019449614366953</c:v>
                </c:pt>
                <c:pt idx="210">
                  <c:v>0.77234424934326951</c:v>
                </c:pt>
                <c:pt idx="211">
                  <c:v>0.77447545621746883</c:v>
                </c:pt>
                <c:pt idx="212">
                  <c:v>0.77658824350051026</c:v>
                </c:pt>
                <c:pt idx="213">
                  <c:v>0.77868273782800146</c:v>
                </c:pt>
                <c:pt idx="214">
                  <c:v>0.78075906571464415</c:v>
                </c:pt>
                <c:pt idx="215">
                  <c:v>0.78281735353264847</c:v>
                </c:pt>
                <c:pt idx="216">
                  <c:v>0.78485772749081717</c:v>
                </c:pt>
                <c:pt idx="217">
                  <c:v>0.78688031361428368</c:v>
                </c:pt>
                <c:pt idx="218">
                  <c:v>0.78888523772488783</c:v>
                </c:pt>
                <c:pt idx="219">
                  <c:v>0.79087262542217573</c:v>
                </c:pt>
                <c:pt idx="220">
                  <c:v>0.79284260206500745</c:v>
                </c:pt>
                <c:pt idx="221">
                  <c:v>0.79479529275375949</c:v>
                </c:pt>
                <c:pt idx="222">
                  <c:v>0.79673082231310688</c:v>
                </c:pt>
                <c:pt idx="223">
                  <c:v>0.79864931527537175</c:v>
                </c:pt>
                <c:pt idx="224">
                  <c:v>0.80055089586442463</c:v>
                </c:pt>
                <c:pt idx="225">
                  <c:v>0.80243568798012499</c:v>
                </c:pt>
                <c:pt idx="226">
                  <c:v>0.80430381518328897</c:v>
                </c:pt>
                <c:pt idx="227">
                  <c:v>0.80615540068117031</c:v>
                </c:pt>
                <c:pt idx="228">
                  <c:v>0.80799056731344343</c:v>
                </c:pt>
                <c:pt idx="229">
                  <c:v>0.80980943753867607</c:v>
                </c:pt>
                <c:pt idx="230">
                  <c:v>0.81161213342127891</c:v>
                </c:pt>
                <c:pt idx="231">
                  <c:v>0.81339877661892168</c:v>
                </c:pt>
                <c:pt idx="232">
                  <c:v>0.81516948837040415</c:v>
                </c:pt>
                <c:pt idx="233">
                  <c:v>0.81692438948397006</c:v>
                </c:pt>
                <c:pt idx="234">
                  <c:v>0.81866360032605467</c:v>
                </c:pt>
                <c:pt idx="235">
                  <c:v>0.82038724081045367</c:v>
                </c:pt>
                <c:pt idx="236">
                  <c:v>0.82209543038790422</c:v>
                </c:pt>
                <c:pt idx="237">
                  <c:v>0.82378828803606774</c:v>
                </c:pt>
                <c:pt idx="238">
                  <c:v>0.82546593224990394</c:v>
                </c:pt>
                <c:pt idx="239">
                  <c:v>0.82712848103242731</c:v>
                </c:pt>
                <c:pt idx="240">
                  <c:v>0.82877605188583547</c:v>
                </c:pt>
                <c:pt idx="241">
                  <c:v>0.83040876180300127</c:v>
                </c:pt>
                <c:pt idx="242">
                  <c:v>0.83202672725931859</c:v>
                </c:pt>
                <c:pt idx="243">
                  <c:v>0.83363006420489316</c:v>
                </c:pt>
                <c:pt idx="244">
                  <c:v>0.83521888805707045</c:v>
                </c:pt>
                <c:pt idx="245">
                  <c:v>0.83679331369329091</c:v>
                </c:pt>
                <c:pt idx="246">
                  <c:v>0.83835345544426498</c:v>
                </c:pt>
                <c:pt idx="247">
                  <c:v>0.83989942708746002</c:v>
                </c:pt>
                <c:pt idx="248">
                  <c:v>0.84143134184089008</c:v>
                </c:pt>
                <c:pt idx="249">
                  <c:v>0.84294931235720216</c:v>
                </c:pt>
                <c:pt idx="250">
                  <c:v>0.84445345071805022</c:v>
                </c:pt>
                <c:pt idx="251">
                  <c:v>0.8459438684287498</c:v>
                </c:pt>
                <c:pt idx="252">
                  <c:v>0.84742067641320662</c:v>
                </c:pt>
                <c:pt idx="253">
                  <c:v>0.84888398500911078</c:v>
                </c:pt>
                <c:pt idx="254">
                  <c:v>0.85033390396339115</c:v>
                </c:pt>
                <c:pt idx="255">
                  <c:v>0.85177054242792172</c:v>
                </c:pt>
                <c:pt idx="256">
                  <c:v>0.85319400895547415</c:v>
                </c:pt>
                <c:pt idx="257">
                  <c:v>0.8546044114959096</c:v>
                </c:pt>
                <c:pt idx="258">
                  <c:v>0.85600185739260393</c:v>
                </c:pt>
                <c:pt idx="259">
                  <c:v>0.85738645337909936</c:v>
                </c:pt>
                <c:pt idx="260">
                  <c:v>0.85875830557597743</c:v>
                </c:pt>
                <c:pt idx="261">
                  <c:v>0.86011751948794646</c:v>
                </c:pt>
                <c:pt idx="262">
                  <c:v>0.86146420000113799</c:v>
                </c:pt>
                <c:pt idx="263">
                  <c:v>0.86279845138060696</c:v>
                </c:pt>
                <c:pt idx="264">
                  <c:v>0.86412037726802959</c:v>
                </c:pt>
                <c:pt idx="265">
                  <c:v>0.86543008067959359</c:v>
                </c:pt>
                <c:pt idx="266">
                  <c:v>0.86672766400407542</c:v>
                </c:pt>
                <c:pt idx="267">
                  <c:v>0.86801322900110001</c:v>
                </c:pt>
                <c:pt idx="268">
                  <c:v>0.86928687679957684</c:v>
                </c:pt>
                <c:pt idx="269">
                  <c:v>0.87054870789630789</c:v>
                </c:pt>
                <c:pt idx="270">
                  <c:v>0.87179882215476356</c:v>
                </c:pt>
                <c:pt idx="271">
                  <c:v>0.87303731880402013</c:v>
                </c:pt>
                <c:pt idx="272">
                  <c:v>0.87426429643785508</c:v>
                </c:pt>
                <c:pt idx="273">
                  <c:v>0.87547985301399633</c:v>
                </c:pt>
                <c:pt idx="274">
                  <c:v>0.87668408585351987</c:v>
                </c:pt>
                <c:pt idx="275">
                  <c:v>0.87787709164039185</c:v>
                </c:pt>
                <c:pt idx="276">
                  <c:v>0.87905896642115156</c:v>
                </c:pt>
                <c:pt idx="277">
                  <c:v>0.88022980560473008</c:v>
                </c:pt>
                <c:pt idx="278">
                  <c:v>0.88138970396240179</c:v>
                </c:pt>
                <c:pt idx="279">
                  <c:v>0.88253875562786377</c:v>
                </c:pt>
                <c:pt idx="280">
                  <c:v>0.88367705409743991</c:v>
                </c:pt>
                <c:pt idx="281">
                  <c:v>0.88480469223040581</c:v>
                </c:pt>
                <c:pt idx="282">
                  <c:v>0.88592176224943064</c:v>
                </c:pt>
                <c:pt idx="283">
                  <c:v>0.88702835574113281</c:v>
                </c:pt>
                <c:pt idx="284">
                  <c:v>0.88812456365674541</c:v>
                </c:pt>
                <c:pt idx="285">
                  <c:v>0.88921047631288874</c:v>
                </c:pt>
                <c:pt idx="286">
                  <c:v>0.8902861833924457</c:v>
                </c:pt>
                <c:pt idx="287">
                  <c:v>0.89135177394553755</c:v>
                </c:pt>
                <c:pt idx="288">
                  <c:v>0.89240733639059688</c:v>
                </c:pt>
                <c:pt idx="289">
                  <c:v>0.89345295851553375</c:v>
                </c:pt>
                <c:pt idx="290">
                  <c:v>0.89448872747899333</c:v>
                </c:pt>
                <c:pt idx="291">
                  <c:v>0.89551472981170088</c:v>
                </c:pt>
                <c:pt idx="292">
                  <c:v>0.89653105141789213</c:v>
                </c:pt>
                <c:pt idx="293">
                  <c:v>0.89753777757682573</c:v>
                </c:pt>
                <c:pt idx="294">
                  <c:v>0.89853499294437511</c:v>
                </c:pt>
                <c:pt idx="295">
                  <c:v>0.89952278155469689</c:v>
                </c:pt>
                <c:pt idx="296">
                  <c:v>0.9005012268219742</c:v>
                </c:pt>
                <c:pt idx="297">
                  <c:v>0.90147041154223051</c:v>
                </c:pt>
                <c:pt idx="298">
                  <c:v>0.90243041789521361</c:v>
                </c:pt>
                <c:pt idx="299">
                  <c:v>0.90338132744634558</c:v>
                </c:pt>
                <c:pt idx="300">
                  <c:v>0.90432322114873753</c:v>
                </c:pt>
                <c:pt idx="301">
                  <c:v>0.90525617934526614</c:v>
                </c:pt>
                <c:pt idx="302">
                  <c:v>0.90618028177070997</c:v>
                </c:pt>
                <c:pt idx="303">
                  <c:v>0.90709560755394336</c:v>
                </c:pt>
                <c:pt idx="304">
                  <c:v>0.90800223522018564</c:v>
                </c:pt>
                <c:pt idx="305">
                  <c:v>0.90890024269330405</c:v>
                </c:pt>
                <c:pt idx="306">
                  <c:v>0.90978970729816744</c:v>
                </c:pt>
                <c:pt idx="307">
                  <c:v>0.91067070576304943</c:v>
                </c:pt>
                <c:pt idx="308">
                  <c:v>0.91154331422207913</c:v>
                </c:pt>
                <c:pt idx="309">
                  <c:v>0.91240760821773692</c:v>
                </c:pt>
                <c:pt idx="310">
                  <c:v>0.91326366270339443</c:v>
                </c:pt>
                <c:pt idx="311">
                  <c:v>0.91411155204589545</c:v>
                </c:pt>
                <c:pt idx="312">
                  <c:v>0.91495135002817762</c:v>
                </c:pt>
                <c:pt idx="313">
                  <c:v>0.91578312985193244</c:v>
                </c:pt>
                <c:pt idx="314">
                  <c:v>0.91660696414030141</c:v>
                </c:pt>
                <c:pt idx="315">
                  <c:v>0.91742292494060762</c:v>
                </c:pt>
                <c:pt idx="316">
                  <c:v>0.9182310837271207</c:v>
                </c:pt>
                <c:pt idx="317">
                  <c:v>0.91903151140385386</c:v>
                </c:pt>
                <c:pt idx="318">
                  <c:v>0.919824278307391</c:v>
                </c:pt>
                <c:pt idx="319">
                  <c:v>0.92060945420974305</c:v>
                </c:pt>
                <c:pt idx="320">
                  <c:v>0.92138710832123161</c:v>
                </c:pt>
                <c:pt idx="321">
                  <c:v>0.9221573092933989</c:v>
                </c:pt>
                <c:pt idx="322">
                  <c:v>0.92292012522194244</c:v>
                </c:pt>
                <c:pt idx="323">
                  <c:v>0.92367562364967315</c:v>
                </c:pt>
                <c:pt idx="324">
                  <c:v>0.92442387156949557</c:v>
                </c:pt>
                <c:pt idx="325">
                  <c:v>0.92516493542740907</c:v>
                </c:pt>
                <c:pt idx="326">
                  <c:v>0.92589888112552854</c:v>
                </c:pt>
                <c:pt idx="327">
                  <c:v>0.92662577402512425</c:v>
                </c:pt>
                <c:pt idx="328">
                  <c:v>0.92734567894967801</c:v>
                </c:pt>
                <c:pt idx="329">
                  <c:v>0.92805866018795669</c:v>
                </c:pt>
                <c:pt idx="330">
                  <c:v>0.92876478149709984</c:v>
                </c:pt>
                <c:pt idx="331">
                  <c:v>0.92946410610572217</c:v>
                </c:pt>
                <c:pt idx="332">
                  <c:v>0.93015669671702872</c:v>
                </c:pt>
                <c:pt idx="333">
                  <c:v>0.93084261551194225</c:v>
                </c:pt>
                <c:pt idx="334">
                  <c:v>0.93152192415224111</c:v>
                </c:pt>
                <c:pt idx="335">
                  <c:v>0.93219468378370818</c:v>
                </c:pt>
                <c:pt idx="336">
                  <c:v>0.93286095503928812</c:v>
                </c:pt>
                <c:pt idx="337">
                  <c:v>0.93352079804225319</c:v>
                </c:pt>
                <c:pt idx="338">
                  <c:v>0.93417427240937678</c:v>
                </c:pt>
                <c:pt idx="339">
                  <c:v>0.93482143725411304</c:v>
                </c:pt>
                <c:pt idx="340">
                  <c:v>0.93546235118978216</c:v>
                </c:pt>
                <c:pt idx="341">
                  <c:v>0.93609707233276129</c:v>
                </c:pt>
                <c:pt idx="342">
                  <c:v>0.93672565830567855</c:v>
                </c:pt>
                <c:pt idx="343">
                  <c:v>0.93734816624061135</c:v>
                </c:pt>
                <c:pt idx="344">
                  <c:v>0.9379646527822868</c:v>
                </c:pt>
                <c:pt idx="345">
                  <c:v>0.93857517409128433</c:v>
                </c:pt>
                <c:pt idx="346">
                  <c:v>0.93917978584723916</c:v>
                </c:pt>
                <c:pt idx="347">
                  <c:v>0.93977854325204668</c:v>
                </c:pt>
                <c:pt idx="348">
                  <c:v>0.94037150103306688</c:v>
                </c:pt>
                <c:pt idx="349">
                  <c:v>0.94095871344632742</c:v>
                </c:pt>
                <c:pt idx="350">
                  <c:v>0.94154023427972589</c:v>
                </c:pt>
                <c:pt idx="351">
                  <c:v>0.94211611685622998</c:v>
                </c:pt>
                <c:pt idx="352">
                  <c:v>0.94268641403707487</c:v>
                </c:pt>
                <c:pt idx="353">
                  <c:v>0.94325117822495819</c:v>
                </c:pt>
                <c:pt idx="354">
                  <c:v>0.94381046136723035</c:v>
                </c:pt>
                <c:pt idx="355">
                  <c:v>0.9443643149590818</c:v>
                </c:pt>
                <c:pt idx="356">
                  <c:v>0.94491279004672479</c:v>
                </c:pt>
                <c:pt idx="357">
                  <c:v>0.94545593723057042</c:v>
                </c:pt>
                <c:pt idx="358">
                  <c:v>0.94599380666839983</c:v>
                </c:pt>
                <c:pt idx="359">
                  <c:v>0.94652644807852926</c:v>
                </c:pt>
                <c:pt idx="360">
                  <c:v>0.94705391074296874</c:v>
                </c:pt>
                <c:pt idx="361">
                  <c:v>0.9475762435105739</c:v>
                </c:pt>
                <c:pt idx="362">
                  <c:v>0.94809349480018978</c:v>
                </c:pt>
                <c:pt idx="363">
                  <c:v>0.94860571260378757</c:v>
                </c:pt>
                <c:pt idx="364">
                  <c:v>0.94911294448959249</c:v>
                </c:pt>
                <c:pt idx="365">
                  <c:v>0.94961523760520372</c:v>
                </c:pt>
                <c:pt idx="366">
                  <c:v>0.95011263868070472</c:v>
                </c:pt>
                <c:pt idx="367">
                  <c:v>0.9506051940317648</c:v>
                </c:pt>
                <c:pt idx="368">
                  <c:v>0.95109294956273072</c:v>
                </c:pt>
                <c:pt idx="369">
                  <c:v>0.95157595076970847</c:v>
                </c:pt>
                <c:pt idx="370">
                  <c:v>0.95205424274363459</c:v>
                </c:pt>
                <c:pt idx="371">
                  <c:v>0.95252787017333718</c:v>
                </c:pt>
                <c:pt idx="372">
                  <c:v>0.95299687734858562</c:v>
                </c:pt>
                <c:pt idx="373">
                  <c:v>0.95346130816312968</c:v>
                </c:pt>
                <c:pt idx="374">
                  <c:v>0.95392120611772646</c:v>
                </c:pt>
                <c:pt idx="375">
                  <c:v>0.95437661432315635</c:v>
                </c:pt>
                <c:pt idx="376">
                  <c:v>0.9548275755032265</c:v>
                </c:pt>
                <c:pt idx="377">
                  <c:v>0.95527413199776223</c:v>
                </c:pt>
                <c:pt idx="378">
                  <c:v>0.95571632576558618</c:v>
                </c:pt>
                <c:pt idx="379">
                  <c:v>0.95615419838748461</c:v>
                </c:pt>
                <c:pt idx="380">
                  <c:v>0.95658779106916092</c:v>
                </c:pt>
                <c:pt idx="381">
                  <c:v>0.95701714464417609</c:v>
                </c:pt>
                <c:pt idx="382">
                  <c:v>0.95744229957687554</c:v>
                </c:pt>
                <c:pt idx="383">
                  <c:v>0.95786329596530306</c:v>
                </c:pt>
                <c:pt idx="384">
                  <c:v>0.95828017354410078</c:v>
                </c:pt>
                <c:pt idx="385">
                  <c:v>0.95869297168739531</c:v>
                </c:pt>
                <c:pt idx="386">
                  <c:v>0.95910172941167016</c:v>
                </c:pt>
                <c:pt idx="387">
                  <c:v>0.95950648537862337</c:v>
                </c:pt>
                <c:pt idx="388">
                  <c:v>0.95990727789801178</c:v>
                </c:pt>
                <c:pt idx="389">
                  <c:v>0.96030414493048011</c:v>
                </c:pt>
                <c:pt idx="390">
                  <c:v>0.96069712409037589</c:v>
                </c:pt>
                <c:pt idx="391">
                  <c:v>0.96108625264854963</c:v>
                </c:pt>
                <c:pt idx="392">
                  <c:v>0.96147156753513996</c:v>
                </c:pt>
                <c:pt idx="393">
                  <c:v>0.96185310534234425</c:v>
                </c:pt>
                <c:pt idx="394">
                  <c:v>0.96223090232717357</c:v>
                </c:pt>
                <c:pt idx="395">
                  <c:v>0.96260499441419334</c:v>
                </c:pt>
                <c:pt idx="396">
                  <c:v>0.9629754171982482</c:v>
                </c:pt>
                <c:pt idx="397">
                  <c:v>0.96334220594717135</c:v>
                </c:pt>
                <c:pt idx="398">
                  <c:v>0.96370539560447921</c:v>
                </c:pt>
                <c:pt idx="399">
                  <c:v>0.96406502079205014</c:v>
                </c:pt>
                <c:pt idx="400">
                  <c:v>0.96442111581278744</c:v>
                </c:pt>
                <c:pt idx="401">
                  <c:v>0.964773714653267</c:v>
                </c:pt>
                <c:pt idx="402">
                  <c:v>0.96512285098636952</c:v>
                </c:pt>
                <c:pt idx="403">
                  <c:v>0.96546855817389621</c:v>
                </c:pt>
                <c:pt idx="404">
                  <c:v>0.96581086926916959</c:v>
                </c:pt>
                <c:pt idx="405">
                  <c:v>0.96614981701961766</c:v>
                </c:pt>
                <c:pt idx="406">
                  <c:v>0.96648543386934282</c:v>
                </c:pt>
                <c:pt idx="407">
                  <c:v>0.9668177519616743</c:v>
                </c:pt>
                <c:pt idx="408">
                  <c:v>0.96714680314170509</c:v>
                </c:pt>
                <c:pt idx="409">
                  <c:v>0.96747261895881254</c:v>
                </c:pt>
                <c:pt idx="410">
                  <c:v>0.96779523066916329</c:v>
                </c:pt>
                <c:pt idx="411">
                  <c:v>0.96811466923820177</c:v>
                </c:pt>
                <c:pt idx="412">
                  <c:v>0.96843096534312278</c:v>
                </c:pt>
                <c:pt idx="413">
                  <c:v>0.96874414937532827</c:v>
                </c:pt>
                <c:pt idx="414">
                  <c:v>0.9690542514428675</c:v>
                </c:pt>
                <c:pt idx="415">
                  <c:v>0.96936130137286169</c:v>
                </c:pt>
                <c:pt idx="416">
                  <c:v>0.96966532871391187</c:v>
                </c:pt>
                <c:pt idx="417">
                  <c:v>0.96996636273849146</c:v>
                </c:pt>
                <c:pt idx="418">
                  <c:v>0.97026443244532201</c:v>
                </c:pt>
                <c:pt idx="419">
                  <c:v>0.97055956656173337</c:v>
                </c:pt>
                <c:pt idx="420">
                  <c:v>0.97085179354600748</c:v>
                </c:pt>
                <c:pt idx="421">
                  <c:v>0.97114114158970599</c:v>
                </c:pt>
                <c:pt idx="422">
                  <c:v>0.97142763861998227</c:v>
                </c:pt>
                <c:pt idx="423">
                  <c:v>0.97171131230187691</c:v>
                </c:pt>
                <c:pt idx="424">
                  <c:v>0.97199219004059756</c:v>
                </c:pt>
                <c:pt idx="425">
                  <c:v>0.97227029898378237</c:v>
                </c:pt>
                <c:pt idx="426">
                  <c:v>0.97254566602374781</c:v>
                </c:pt>
                <c:pt idx="427">
                  <c:v>0.97281831779972061</c:v>
                </c:pt>
                <c:pt idx="428">
                  <c:v>0.97308828070005304</c:v>
                </c:pt>
                <c:pt idx="429">
                  <c:v>0.97335558086442342</c:v>
                </c:pt>
                <c:pt idx="430">
                  <c:v>0.97362024418601978</c:v>
                </c:pt>
                <c:pt idx="431">
                  <c:v>0.97388229631370837</c:v>
                </c:pt>
                <c:pt idx="432">
                  <c:v>0.97414176265418606</c:v>
                </c:pt>
                <c:pt idx="433">
                  <c:v>0.97439866837411704</c:v>
                </c:pt>
                <c:pt idx="434">
                  <c:v>0.97465303840225392</c:v>
                </c:pt>
                <c:pt idx="435">
                  <c:v>0.97490489743154307</c:v>
                </c:pt>
                <c:pt idx="436">
                  <c:v>0.97515426992121446</c:v>
                </c:pt>
                <c:pt idx="437">
                  <c:v>0.97540118009885579</c:v>
                </c:pt>
                <c:pt idx="438">
                  <c:v>0.97564565196247133</c:v>
                </c:pt>
                <c:pt idx="439">
                  <c:v>0.975887709282525</c:v>
                </c:pt>
                <c:pt idx="440">
                  <c:v>0.97612737560396856</c:v>
                </c:pt>
                <c:pt idx="441">
                  <c:v>0.97636467424825379</c:v>
                </c:pt>
                <c:pt idx="442">
                  <c:v>0.97659962831532965</c:v>
                </c:pt>
                <c:pt idx="443">
                  <c:v>0.97683226068562456</c:v>
                </c:pt>
                <c:pt idx="444">
                  <c:v>0.9770625940220129</c:v>
                </c:pt>
                <c:pt idx="445">
                  <c:v>0.9772906507717668</c:v>
                </c:pt>
                <c:pt idx="446">
                  <c:v>0.97751645316849267</c:v>
                </c:pt>
                <c:pt idx="447">
                  <c:v>0.97774002323405285</c:v>
                </c:pt>
                <c:pt idx="448">
                  <c:v>0.97796138278047229</c:v>
                </c:pt>
                <c:pt idx="449">
                  <c:v>0.97818055341183019</c:v>
                </c:pt>
                <c:pt idx="450">
                  <c:v>0.97839755652613714</c:v>
                </c:pt>
                <c:pt idx="451">
                  <c:v>0.97861241331719739</c:v>
                </c:pt>
                <c:pt idx="452">
                  <c:v>0.97882514477645621</c:v>
                </c:pt>
                <c:pt idx="453">
                  <c:v>0.97903577169483313</c:v>
                </c:pt>
                <c:pt idx="454">
                  <c:v>0.97924431466453998</c:v>
                </c:pt>
                <c:pt idx="455">
                  <c:v>0.97945079408088531</c:v>
                </c:pt>
                <c:pt idx="456">
                  <c:v>0.97965523014406375</c:v>
                </c:pt>
                <c:pt idx="457">
                  <c:v>0.97985764286093102</c:v>
                </c:pt>
                <c:pt idx="458">
                  <c:v>0.98005805204676533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25-4083-8CD4-2874601F9B67}"/>
            </c:ext>
          </c:extLst>
        </c:ser>
        <c:ser>
          <c:idx val="3"/>
          <c:order val="3"/>
          <c:tx>
            <c:strRef>
              <c:f>'DTMC - No Repair'!$J$1</c:f>
              <c:strCache>
                <c:ptCount val="1"/>
                <c:pt idx="0">
                  <c:v>R(t)</c:v>
                </c:pt>
              </c:strCache>
            </c:strRef>
          </c:tx>
          <c:spPr>
            <a:ln w="28575" cap="rnd">
              <a:solidFill>
                <a:schemeClr val="bg1"/>
              </a:solidFill>
              <a:prstDash val="lgDash"/>
            </a:ln>
            <a:effectLst>
              <a:glow rad="139700">
                <a:schemeClr val="bg1"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'DTMC - No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No Repair'!$J$2:$J$460</c:f>
              <c:numCache>
                <c:formatCode>0.00%</c:formatCode>
                <c:ptCount val="459"/>
                <c:pt idx="0">
                  <c:v>1</c:v>
                </c:pt>
                <c:pt idx="1">
                  <c:v>0.99990000000000001</c:v>
                </c:pt>
                <c:pt idx="2">
                  <c:v>0.99960399</c:v>
                </c:pt>
                <c:pt idx="3">
                  <c:v>0.99911785059900005</c:v>
                </c:pt>
                <c:pt idx="4">
                  <c:v>0.99844732557207994</c:v>
                </c:pt>
                <c:pt idx="5">
                  <c:v>0.99759802479119553</c:v>
                </c:pt>
                <c:pt idx="6">
                  <c:v>0.99657542708587077</c:v>
                </c:pt>
                <c:pt idx="7">
                  <c:v>0.99538488304500172</c:v>
                </c:pt>
                <c:pt idx="8">
                  <c:v>0.9940316177609646</c:v>
                </c:pt>
                <c:pt idx="9">
                  <c:v>0.99252073351719416</c:v>
                </c:pt>
                <c:pt idx="10">
                  <c:v>0.99085721242037805</c:v>
                </c:pt>
                <c:pt idx="11">
                  <c:v>0.9890459189783869</c:v>
                </c:pt>
                <c:pt idx="12">
                  <c:v>0.98709160262503959</c:v>
                </c:pt>
                <c:pt idx="13">
                  <c:v>0.98499890019278069</c:v>
                </c:pt>
                <c:pt idx="14">
                  <c:v>0.98277233833432387</c:v>
                </c:pt>
                <c:pt idx="15">
                  <c:v>0.98041633589429666</c:v>
                </c:pt>
                <c:pt idx="16">
                  <c:v>0.97793520623189767</c:v>
                </c:pt>
                <c:pt idx="17">
                  <c:v>0.97533315949556143</c:v>
                </c:pt>
                <c:pt idx="18">
                  <c:v>0.97261430485060152</c:v>
                </c:pt>
                <c:pt idx="19">
                  <c:v>0.96978265266078623</c:v>
                </c:pt>
                <c:pt idx="20">
                  <c:v>0.96684211662478126</c:v>
                </c:pt>
                <c:pt idx="21">
                  <c:v>0.96379651586837323</c:v>
                </c:pt>
                <c:pt idx="22">
                  <c:v>0.96064957699337361</c:v>
                </c:pt>
                <c:pt idx="23">
                  <c:v>0.95740493608407851</c:v>
                </c:pt>
                <c:pt idx="24">
                  <c:v>0.95406614067214979</c:v>
                </c:pt>
                <c:pt idx="25">
                  <c:v>0.95063665166075695</c:v>
                </c:pt>
                <c:pt idx="26">
                  <c:v>0.94711984520881098</c:v>
                </c:pt>
                <c:pt idx="27">
                  <c:v>0.94351901457609766</c:v>
                </c:pt>
                <c:pt idx="28">
                  <c:v>0.93983737193010597</c:v>
                </c:pt>
                <c:pt idx="29">
                  <c:v>0.93607805011532885</c:v>
                </c:pt>
                <c:pt idx="30">
                  <c:v>0.93224410438579941</c:v>
                </c:pt>
                <c:pt idx="31">
                  <c:v>0.92833851410160995</c:v>
                </c:pt>
                <c:pt idx="32">
                  <c:v>0.92436418439014501</c:v>
                </c:pt>
                <c:pt idx="33">
                  <c:v>0.92032394777274662</c:v>
                </c:pt>
                <c:pt idx="34">
                  <c:v>0.91622056575751476</c:v>
                </c:pt>
                <c:pt idx="35">
                  <c:v>0.91205673039893165</c:v>
                </c:pt>
                <c:pt idx="36">
                  <c:v>0.9078350658249843</c:v>
                </c:pt>
                <c:pt idx="37">
                  <c:v>0.90355812973244876</c:v>
                </c:pt>
                <c:pt idx="38">
                  <c:v>0.89922841485098071</c:v>
                </c:pt>
                <c:pt idx="39">
                  <c:v>0.89484835037665189</c:v>
                </c:pt>
                <c:pt idx="40">
                  <c:v>0.89042030337555012</c:v>
                </c:pt>
                <c:pt idx="41">
                  <c:v>0.88594658015805638</c:v>
                </c:pt>
                <c:pt idx="42">
                  <c:v>0.88142942762439391</c:v>
                </c:pt>
                <c:pt idx="43">
                  <c:v>0.87687103458203652</c:v>
                </c:pt>
                <c:pt idx="44">
                  <c:v>0.87227353303554844</c:v>
                </c:pt>
                <c:pt idx="45">
                  <c:v>0.86763899944941847</c:v>
                </c:pt>
                <c:pt idx="46">
                  <c:v>0.86296945598443964</c:v>
                </c:pt>
                <c:pt idx="47">
                  <c:v>0.85826687170817328</c:v>
                </c:pt>
                <c:pt idx="48">
                  <c:v>0.85353316378002642</c:v>
                </c:pt>
                <c:pt idx="49">
                  <c:v>0.84877019861146119</c:v>
                </c:pt>
                <c:pt idx="50">
                  <c:v>0.84397979300184378</c:v>
                </c:pt>
                <c:pt idx="51">
                  <c:v>0.83916371525043032</c:v>
                </c:pt>
                <c:pt idx="52">
                  <c:v>0.83432368624497677</c:v>
                </c:pt>
                <c:pt idx="53">
                  <c:v>0.82946138052745144</c:v>
                </c:pt>
                <c:pt idx="54">
                  <c:v>0.82457842733731734</c:v>
                </c:pt>
                <c:pt idx="55">
                  <c:v>0.81967641163284333</c:v>
                </c:pt>
                <c:pt idx="56">
                  <c:v>0.8147568750908929</c:v>
                </c:pt>
                <c:pt idx="57">
                  <c:v>0.80982131708563188</c:v>
                </c:pt>
                <c:pt idx="58">
                  <c:v>0.80487119564658516</c:v>
                </c:pt>
                <c:pt idx="59">
                  <c:v>0.79990792839646585</c:v>
                </c:pt>
                <c:pt idx="60">
                  <c:v>0.79493289346919138</c:v>
                </c:pt>
                <c:pt idx="61">
                  <c:v>0.78994743040849147</c:v>
                </c:pt>
                <c:pt idx="62">
                  <c:v>0.78495284104750629</c:v>
                </c:pt>
                <c:pt idx="63">
                  <c:v>0.7799503903697631</c:v>
                </c:pt>
                <c:pt idx="64">
                  <c:v>0.77494130735191613</c:v>
                </c:pt>
                <c:pt idx="65">
                  <c:v>0.76992678578861917</c:v>
                </c:pt>
                <c:pt idx="66">
                  <c:v>0.76490798509990165</c:v>
                </c:pt>
                <c:pt idx="67">
                  <c:v>0.75988603112140496</c:v>
                </c:pt>
                <c:pt idx="68">
                  <c:v>0.75486201687783039</c:v>
                </c:pt>
                <c:pt idx="69">
                  <c:v>0.74983700333994563</c:v>
                </c:pt>
                <c:pt idx="70">
                  <c:v>0.74481202016548487</c:v>
                </c:pt>
                <c:pt idx="71">
                  <c:v>0.73978806642427575</c:v>
                </c:pt>
                <c:pt idx="72">
                  <c:v>0.73476611130791603</c:v>
                </c:pt>
                <c:pt idx="73">
                  <c:v>0.72974709482431688</c:v>
                </c:pt>
                <c:pt idx="74">
                  <c:v>0.72473192847742718</c:v>
                </c:pt>
                <c:pt idx="75">
                  <c:v>0.71972149593243939</c:v>
                </c:pt>
                <c:pt idx="76">
                  <c:v>0.71471665366677972</c:v>
                </c:pt>
                <c:pt idx="77">
                  <c:v>0.70971823160717262</c:v>
                </c:pt>
                <c:pt idx="78">
                  <c:v>0.70472703375306822</c:v>
                </c:pt>
                <c:pt idx="79">
                  <c:v>0.69974383878671165</c:v>
                </c:pt>
                <c:pt idx="80">
                  <c:v>0.69476940067013238</c:v>
                </c:pt>
                <c:pt idx="81">
                  <c:v>0.68980444922932027</c:v>
                </c:pt>
                <c:pt idx="82">
                  <c:v>0.684849690725855</c:v>
                </c:pt>
                <c:pt idx="83">
                  <c:v>0.6799058084162467</c:v>
                </c:pt>
                <c:pt idx="84">
                  <c:v>0.67497346309924122</c:v>
                </c:pt>
                <c:pt idx="85">
                  <c:v>0.67005329365133948</c:v>
                </c:pt>
                <c:pt idx="86">
                  <c:v>0.66514591755077324</c:v>
                </c:pt>
                <c:pt idx="87">
                  <c:v>0.66025193139017724</c:v>
                </c:pt>
                <c:pt idx="88">
                  <c:v>0.65537191137819051</c:v>
                </c:pt>
                <c:pt idx="89">
                  <c:v>0.65050641383021546</c:v>
                </c:pt>
                <c:pt idx="90">
                  <c:v>0.6456559756485607</c:v>
                </c:pt>
                <c:pt idx="91">
                  <c:v>0.64082111479218518</c:v>
                </c:pt>
                <c:pt idx="92">
                  <c:v>0.63600233073626122</c:v>
                </c:pt>
                <c:pt idx="93">
                  <c:v>0.6312001049217657</c:v>
                </c:pt>
                <c:pt idx="94">
                  <c:v>0.62641490119530718</c:v>
                </c:pt>
                <c:pt idx="95">
                  <c:v>0.62164716623939031</c:v>
                </c:pt>
                <c:pt idx="96">
                  <c:v>0.61689732999331737</c:v>
                </c:pt>
                <c:pt idx="97">
                  <c:v>0.61216580606492044</c:v>
                </c:pt>
                <c:pt idx="98">
                  <c:v>0.60745299213331405</c:v>
                </c:pt>
                <c:pt idx="99">
                  <c:v>0.60275927034285559</c:v>
                </c:pt>
                <c:pt idx="100">
                  <c:v>0.59808500768849737</c:v>
                </c:pt>
                <c:pt idx="101">
                  <c:v>0.59343055639270625</c:v>
                </c:pt>
                <c:pt idx="102">
                  <c:v>0.58879625427412918</c:v>
                </c:pt>
                <c:pt idx="103">
                  <c:v>0.58418242510817553</c:v>
                </c:pt>
                <c:pt idx="104">
                  <c:v>0.57958937897968332</c:v>
                </c:pt>
                <c:pt idx="105">
                  <c:v>0.57501741262783646</c:v>
                </c:pt>
                <c:pt idx="106">
                  <c:v>0.57046680978349296</c:v>
                </c:pt>
                <c:pt idx="107">
                  <c:v>0.56593784149908233</c:v>
                </c:pt>
                <c:pt idx="108">
                  <c:v>0.56143076647122858</c:v>
                </c:pt>
                <c:pt idx="109">
                  <c:v>0.55694583135624942</c:v>
                </c:pt>
                <c:pt idx="110">
                  <c:v>0.55248327107868045</c:v>
                </c:pt>
                <c:pt idx="111">
                  <c:v>0.54804330913297072</c:v>
                </c:pt>
                <c:pt idx="112">
                  <c:v>0.54362615787849311</c:v>
                </c:pt>
                <c:pt idx="113">
                  <c:v>0.53923201882800698</c:v>
                </c:pt>
                <c:pt idx="114">
                  <c:v>0.53486108292971246</c:v>
                </c:pt>
                <c:pt idx="115">
                  <c:v>0.53051353084303032</c:v>
                </c:pt>
                <c:pt idx="116">
                  <c:v>0.52618953320823691</c:v>
                </c:pt>
                <c:pt idx="117">
                  <c:v>0.52188925091008609</c:v>
                </c:pt>
                <c:pt idx="118">
                  <c:v>0.51761283533554137</c:v>
                </c:pt>
                <c:pt idx="119">
                  <c:v>0.5133604286257446</c:v>
                </c:pt>
                <c:pt idx="120">
                  <c:v>0.50913216392233895</c:v>
                </c:pt>
                <c:pt idx="121">
                  <c:v>0.50492816560826859</c:v>
                </c:pt>
                <c:pt idx="122">
                  <c:v>0.50074854954316839</c:v>
                </c:pt>
                <c:pt idx="123">
                  <c:v>0.49659342329345868</c:v>
                </c:pt>
                <c:pt idx="124">
                  <c:v>0.49246288635725621</c:v>
                </c:pt>
                <c:pt idx="125">
                  <c:v>0.48835703038421074</c:v>
                </c:pt>
                <c:pt idx="126">
                  <c:v>0.48427593939037428</c:v>
                </c:pt>
                <c:pt idx="127">
                  <c:v>0.48021968996820708</c:v>
                </c:pt>
                <c:pt idx="128">
                  <c:v>0.47618835149182392</c:v>
                </c:pt>
                <c:pt idx="129">
                  <c:v>0.47218198631758102</c:v>
                </c:pt>
                <c:pt idx="130">
                  <c:v>0.46820064998010102</c:v>
                </c:pt>
                <c:pt idx="131">
                  <c:v>0.46424439138383455</c:v>
                </c:pt>
                <c:pt idx="132">
                  <c:v>0.46031325299025039</c:v>
                </c:pt>
                <c:pt idx="133">
                  <c:v>0.45640727100074896</c:v>
                </c:pt>
                <c:pt idx="134">
                  <c:v>0.45252647553538861</c:v>
                </c:pt>
                <c:pt idx="135">
                  <c:v>0.44867089080751332</c:v>
                </c:pt>
                <c:pt idx="136">
                  <c:v>0.44484053529437007</c:v>
                </c:pt>
                <c:pt idx="137">
                  <c:v>0.44103542190379907</c:v>
                </c:pt>
                <c:pt idx="138">
                  <c:v>0.4372555581370825</c:v>
                </c:pt>
                <c:pt idx="139">
                  <c:v>0.43350094624803193</c:v>
                </c:pt>
                <c:pt idx="140">
                  <c:v>0.42977158339839472</c:v>
                </c:pt>
                <c:pt idx="141">
                  <c:v>0.42606746180965827</c:v>
                </c:pt>
                <c:pt idx="142">
                  <c:v>0.42238856891132881</c:v>
                </c:pt>
                <c:pt idx="143">
                  <c:v>0.41873488748575927</c:v>
                </c:pt>
                <c:pt idx="144">
                  <c:v>0.41510639580960085</c:v>
                </c:pt>
                <c:pt idx="145">
                  <c:v>0.41150306779194989</c:v>
                </c:pt>
                <c:pt idx="146">
                  <c:v>0.40792487310926062</c:v>
                </c:pt>
                <c:pt idx="147">
                  <c:v>0.40437177733709317</c:v>
                </c:pt>
                <c:pt idx="148">
                  <c:v>0.40084374207876483</c:v>
                </c:pt>
                <c:pt idx="149">
                  <c:v>0.3973407250909704</c:v>
                </c:pt>
                <c:pt idx="150">
                  <c:v>0.39386268040643735</c:v>
                </c:pt>
                <c:pt idx="151">
                  <c:v>0.39040955845367875</c:v>
                </c:pt>
                <c:pt idx="152">
                  <c:v>0.38698130617390669</c:v>
                </c:pt>
                <c:pt idx="153">
                  <c:v>0.38357786713516762</c:v>
                </c:pt>
                <c:pt idx="154">
                  <c:v>0.38019918164375821</c:v>
                </c:pt>
                <c:pt idx="155">
                  <c:v>0.37684518685298207</c:v>
                </c:pt>
                <c:pt idx="156">
                  <c:v>0.37351581686930302</c:v>
                </c:pt>
                <c:pt idx="157">
                  <c:v>0.37021100285595221</c:v>
                </c:pt>
                <c:pt idx="158">
                  <c:v>0.36693067313404359</c:v>
                </c:pt>
                <c:pt idx="159">
                  <c:v>0.36367475328125165</c:v>
                </c:pt>
                <c:pt idx="160">
                  <c:v>0.36044316622810457</c:v>
                </c:pt>
                <c:pt idx="161">
                  <c:v>0.35723583235194356</c:v>
                </c:pt>
                <c:pt idx="162">
                  <c:v>0.35405266956860038</c:v>
                </c:pt>
                <c:pt idx="163">
                  <c:v>0.35089359342184112</c:v>
                </c:pt>
                <c:pt idx="164">
                  <c:v>0.34775851717062589</c:v>
                </c:pt>
                <c:pt idx="165">
                  <c:v>0.34464735187423101</c:v>
                </c:pt>
                <c:pt idx="166">
                  <c:v>0.3415600064752814</c:v>
                </c:pt>
                <c:pt idx="167">
                  <c:v>0.33849638788073744</c:v>
                </c:pt>
                <c:pt idx="168">
                  <c:v>0.3354564010408817</c:v>
                </c:pt>
                <c:pt idx="169">
                  <c:v>0.33243994902634944</c:v>
                </c:pt>
                <c:pt idx="170">
                  <c:v>0.32944693310324447</c:v>
                </c:pt>
                <c:pt idx="171">
                  <c:v>0.32647725280638418</c:v>
                </c:pt>
                <c:pt idx="172">
                  <c:v>0.32353080601071238</c:v>
                </c:pt>
                <c:pt idx="173">
                  <c:v>0.32060748900092273</c:v>
                </c:pt>
                <c:pt idx="174">
                  <c:v>0.31770719653932966</c:v>
                </c:pt>
                <c:pt idx="175">
                  <c:v>0.31482982193202702</c:v>
                </c:pt>
                <c:pt idx="176">
                  <c:v>0.31197525709337148</c:v>
                </c:pt>
                <c:pt idx="177">
                  <c:v>0.30914339260882728</c:v>
                </c:pt>
                <c:pt idx="178">
                  <c:v>0.30633411779620934</c:v>
                </c:pt>
                <c:pt idx="179">
                  <c:v>0.30354732076535951</c:v>
                </c:pt>
                <c:pt idx="180">
                  <c:v>0.30078288847629064</c:v>
                </c:pt>
                <c:pt idx="181">
                  <c:v>0.29804070679583261</c:v>
                </c:pt>
                <c:pt idx="182">
                  <c:v>0.29532066055281347</c:v>
                </c:pt>
                <c:pt idx="183">
                  <c:v>0.29262263359180829</c:v>
                </c:pt>
                <c:pt idx="184">
                  <c:v>0.28994650882548711</c:v>
                </c:pt>
                <c:pt idx="185">
                  <c:v>0.28729216828559423</c:v>
                </c:pt>
                <c:pt idx="186">
                  <c:v>0.28465949317258787</c:v>
                </c:pt>
                <c:pt idx="187">
                  <c:v>0.28204836390397159</c:v>
                </c:pt>
                <c:pt idx="188">
                  <c:v>0.27945866016134557</c:v>
                </c:pt>
                <c:pt idx="189">
                  <c:v>0.27689026093620717</c:v>
                </c:pt>
                <c:pt idx="190">
                  <c:v>0.27434304457452829</c:v>
                </c:pt>
                <c:pt idx="191">
                  <c:v>0.27181688882013733</c:v>
                </c:pt>
                <c:pt idx="192">
                  <c:v>0.26931167085693231</c:v>
                </c:pt>
                <c:pt idx="193">
                  <c:v>0.26682726734995188</c:v>
                </c:pt>
                <c:pt idx="194">
                  <c:v>0.26436355448532967</c:v>
                </c:pt>
                <c:pt idx="195">
                  <c:v>0.26192040800915695</c:v>
                </c:pt>
                <c:pt idx="196">
                  <c:v>0.25949770326527921</c:v>
                </c:pt>
                <c:pt idx="197">
                  <c:v>0.25709531523204965</c:v>
                </c:pt>
                <c:pt idx="198">
                  <c:v>0.25471311855806389</c:v>
                </c:pt>
                <c:pt idx="199">
                  <c:v>0.25235098759689911</c:v>
                </c:pt>
                <c:pt idx="200">
                  <c:v>0.25000879644088014</c:v>
                </c:pt>
                <c:pt idx="201">
                  <c:v>0.24768641895389432</c:v>
                </c:pt>
                <c:pt idx="202">
                  <c:v>0.24538372880327763</c:v>
                </c:pt>
                <c:pt idx="203">
                  <c:v>0.24310059949079255</c:v>
                </c:pt>
                <c:pt idx="204">
                  <c:v>0.24083690438271887</c:v>
                </c:pt>
                <c:pt idx="205">
                  <c:v>0.238592516739078</c:v>
                </c:pt>
                <c:pt idx="206">
                  <c:v>0.23636730974200981</c:v>
                </c:pt>
                <c:pt idx="207">
                  <c:v>0.23416115652332292</c:v>
                </c:pt>
                <c:pt idx="208">
                  <c:v>0.23197393019123602</c:v>
                </c:pt>
                <c:pt idx="209">
                  <c:v>0.22980550385633047</c:v>
                </c:pt>
                <c:pt idx="210">
                  <c:v>0.22765575065673049</c:v>
                </c:pt>
                <c:pt idx="211">
                  <c:v>0.22552454378253117</c:v>
                </c:pt>
                <c:pt idx="212">
                  <c:v>0.22341175649948974</c:v>
                </c:pt>
                <c:pt idx="213">
                  <c:v>0.22131726217199854</c:v>
                </c:pt>
                <c:pt idx="214">
                  <c:v>0.21924093428535585</c:v>
                </c:pt>
                <c:pt idx="215">
                  <c:v>0.21718264646735153</c:v>
                </c:pt>
                <c:pt idx="216">
                  <c:v>0.21514227250918283</c:v>
                </c:pt>
                <c:pt idx="217">
                  <c:v>0.21311968638571632</c:v>
                </c:pt>
                <c:pt idx="218">
                  <c:v>0.21111476227511217</c:v>
                </c:pt>
                <c:pt idx="219">
                  <c:v>0.20912737457782427</c:v>
                </c:pt>
                <c:pt idx="220">
                  <c:v>0.20715739793499255</c:v>
                </c:pt>
                <c:pt idx="221">
                  <c:v>0.20520470724624051</c:v>
                </c:pt>
                <c:pt idx="222">
                  <c:v>0.20326917768689312</c:v>
                </c:pt>
                <c:pt idx="223">
                  <c:v>0.20135068472462825</c:v>
                </c:pt>
                <c:pt idx="224">
                  <c:v>0.19944910413557537</c:v>
                </c:pt>
                <c:pt idx="225">
                  <c:v>0.19756431201987501</c:v>
                </c:pt>
                <c:pt idx="226">
                  <c:v>0.19569618481671103</c:v>
                </c:pt>
                <c:pt idx="227">
                  <c:v>0.19384459931882969</c:v>
                </c:pt>
                <c:pt idx="228">
                  <c:v>0.19200943268655657</c:v>
                </c:pt>
                <c:pt idx="229">
                  <c:v>0.19019056246132393</c:v>
                </c:pt>
                <c:pt idx="230">
                  <c:v>0.18838786657872109</c:v>
                </c:pt>
                <c:pt idx="231">
                  <c:v>0.18660122338107832</c:v>
                </c:pt>
                <c:pt idx="232">
                  <c:v>0.18483051162959585</c:v>
                </c:pt>
                <c:pt idx="233">
                  <c:v>0.18307561051602994</c:v>
                </c:pt>
                <c:pt idx="234">
                  <c:v>0.18133639967394533</c:v>
                </c:pt>
                <c:pt idx="235">
                  <c:v>0.17961275918954633</c:v>
                </c:pt>
                <c:pt idx="236">
                  <c:v>0.17790456961209578</c:v>
                </c:pt>
                <c:pt idx="237">
                  <c:v>0.17621171196393226</c:v>
                </c:pt>
                <c:pt idx="238">
                  <c:v>0.17453406775009606</c:v>
                </c:pt>
                <c:pt idx="239">
                  <c:v>0.17287151896757269</c:v>
                </c:pt>
                <c:pt idx="240">
                  <c:v>0.17122394811416453</c:v>
                </c:pt>
                <c:pt idx="241">
                  <c:v>0.16959123819699873</c:v>
                </c:pt>
                <c:pt idx="242">
                  <c:v>0.16797327274068141</c:v>
                </c:pt>
                <c:pt idx="243">
                  <c:v>0.16636993579510684</c:v>
                </c:pt>
                <c:pt idx="244">
                  <c:v>0.16478111194292955</c:v>
                </c:pt>
                <c:pt idx="245">
                  <c:v>0.16320668630670909</c:v>
                </c:pt>
                <c:pt idx="246">
                  <c:v>0.16164654455573502</c:v>
                </c:pt>
                <c:pt idx="247">
                  <c:v>0.16010057291253998</c:v>
                </c:pt>
                <c:pt idx="248">
                  <c:v>0.15856865815910992</c:v>
                </c:pt>
                <c:pt idx="249">
                  <c:v>0.15705068764279784</c:v>
                </c:pt>
                <c:pt idx="250">
                  <c:v>0.15554654928194978</c:v>
                </c:pt>
                <c:pt idx="251">
                  <c:v>0.1540561315712502</c:v>
                </c:pt>
                <c:pt idx="252">
                  <c:v>0.15257932358679338</c:v>
                </c:pt>
                <c:pt idx="253">
                  <c:v>0.15111601499088922</c:v>
                </c:pt>
                <c:pt idx="254">
                  <c:v>0.14966609603660885</c:v>
                </c:pt>
                <c:pt idx="255">
                  <c:v>0.14822945757207828</c:v>
                </c:pt>
                <c:pt idx="256">
                  <c:v>0.14680599104452585</c:v>
                </c:pt>
                <c:pt idx="257">
                  <c:v>0.1453955885040904</c:v>
                </c:pt>
                <c:pt idx="258">
                  <c:v>0.14399814260739607</c:v>
                </c:pt>
                <c:pt idx="259">
                  <c:v>0.14261354662090064</c:v>
                </c:pt>
                <c:pt idx="260">
                  <c:v>0.14124169442402257</c:v>
                </c:pt>
                <c:pt idx="261">
                  <c:v>0.13988248051205354</c:v>
                </c:pt>
                <c:pt idx="262">
                  <c:v>0.13853579999886201</c:v>
                </c:pt>
                <c:pt idx="263">
                  <c:v>0.13720154861939304</c:v>
                </c:pt>
                <c:pt idx="264">
                  <c:v>0.13587962273197041</c:v>
                </c:pt>
                <c:pt idx="265">
                  <c:v>0.13456991932040641</c:v>
                </c:pt>
                <c:pt idx="266">
                  <c:v>0.13327233599592458</c:v>
                </c:pt>
                <c:pt idx="267">
                  <c:v>0.13198677099889999</c:v>
                </c:pt>
                <c:pt idx="268">
                  <c:v>0.13071312320042316</c:v>
                </c:pt>
                <c:pt idx="269">
                  <c:v>0.12945129210369211</c:v>
                </c:pt>
                <c:pt idx="270">
                  <c:v>0.12820117784523644</c:v>
                </c:pt>
                <c:pt idx="271">
                  <c:v>0.12696268119597987</c:v>
                </c:pt>
                <c:pt idx="272">
                  <c:v>0.12573570356214492</c:v>
                </c:pt>
                <c:pt idx="273">
                  <c:v>0.12452014698600367</c:v>
                </c:pt>
                <c:pt idx="274">
                  <c:v>0.12331591414648013</c:v>
                </c:pt>
                <c:pt idx="275">
                  <c:v>0.12212290835960815</c:v>
                </c:pt>
                <c:pt idx="276">
                  <c:v>0.12094103357884844</c:v>
                </c:pt>
                <c:pt idx="277">
                  <c:v>0.11977019439526992</c:v>
                </c:pt>
                <c:pt idx="278">
                  <c:v>0.11861029603759821</c:v>
                </c:pt>
                <c:pt idx="279">
                  <c:v>0.11746124437213623</c:v>
                </c:pt>
                <c:pt idx="280">
                  <c:v>0.11632294590256009</c:v>
                </c:pt>
                <c:pt idx="281">
                  <c:v>0.11519530776959419</c:v>
                </c:pt>
                <c:pt idx="282">
                  <c:v>0.11407823775056936</c:v>
                </c:pt>
                <c:pt idx="283">
                  <c:v>0.11297164425886719</c:v>
                </c:pt>
                <c:pt idx="284">
                  <c:v>0.11187543634325459</c:v>
                </c:pt>
                <c:pt idx="285">
                  <c:v>0.11078952368711126</c:v>
                </c:pt>
                <c:pt idx="286">
                  <c:v>0.1097138166075543</c:v>
                </c:pt>
                <c:pt idx="287">
                  <c:v>0.10864822605446245</c:v>
                </c:pt>
                <c:pt idx="288">
                  <c:v>0.10759266360940312</c:v>
                </c:pt>
                <c:pt idx="289">
                  <c:v>0.10654704148446625</c:v>
                </c:pt>
                <c:pt idx="290">
                  <c:v>0.10551127252100667</c:v>
                </c:pt>
                <c:pt idx="291">
                  <c:v>0.10448527018829912</c:v>
                </c:pt>
                <c:pt idx="292">
                  <c:v>0.10346894858210787</c:v>
                </c:pt>
                <c:pt idx="293">
                  <c:v>0.10246222242317427</c:v>
                </c:pt>
                <c:pt idx="294">
                  <c:v>0.10146500705562489</c:v>
                </c:pt>
                <c:pt idx="295">
                  <c:v>0.10047721844530311</c:v>
                </c:pt>
                <c:pt idx="296">
                  <c:v>9.9498773178025801E-2</c:v>
                </c:pt>
                <c:pt idx="297">
                  <c:v>9.852958845776949E-2</c:v>
                </c:pt>
                <c:pt idx="298">
                  <c:v>9.756958210478639E-2</c:v>
                </c:pt>
                <c:pt idx="299">
                  <c:v>9.6618672553654417E-2</c:v>
                </c:pt>
                <c:pt idx="300">
                  <c:v>9.5676778851262467E-2</c:v>
                </c:pt>
                <c:pt idx="301">
                  <c:v>9.4743820654733857E-2</c:v>
                </c:pt>
                <c:pt idx="302">
                  <c:v>9.3819718229290028E-2</c:v>
                </c:pt>
                <c:pt idx="303">
                  <c:v>9.2904392446056638E-2</c:v>
                </c:pt>
                <c:pt idx="304">
                  <c:v>9.1997764779814362E-2</c:v>
                </c:pt>
                <c:pt idx="305">
                  <c:v>9.109975730669595E-2</c:v>
                </c:pt>
                <c:pt idx="306">
                  <c:v>9.0210292701832562E-2</c:v>
                </c:pt>
                <c:pt idx="307">
                  <c:v>8.9329294236950574E-2</c:v>
                </c:pt>
                <c:pt idx="308">
                  <c:v>8.8456685777920874E-2</c:v>
                </c:pt>
                <c:pt idx="309">
                  <c:v>8.7592391782263079E-2</c:v>
                </c:pt>
                <c:pt idx="310">
                  <c:v>8.673633729660557E-2</c:v>
                </c:pt>
                <c:pt idx="311">
                  <c:v>8.5888447954104552E-2</c:v>
                </c:pt>
                <c:pt idx="312">
                  <c:v>8.5048649971822377E-2</c:v>
                </c:pt>
                <c:pt idx="313">
                  <c:v>8.4216870148067557E-2</c:v>
                </c:pt>
                <c:pt idx="314">
                  <c:v>8.3393035859698594E-2</c:v>
                </c:pt>
                <c:pt idx="315">
                  <c:v>8.257707505939238E-2</c:v>
                </c:pt>
                <c:pt idx="316">
                  <c:v>8.17689162728793E-2</c:v>
                </c:pt>
                <c:pt idx="317">
                  <c:v>8.0968488596146138E-2</c:v>
                </c:pt>
                <c:pt idx="318">
                  <c:v>8.0175721692609003E-2</c:v>
                </c:pt>
                <c:pt idx="319">
                  <c:v>7.939054579025695E-2</c:v>
                </c:pt>
                <c:pt idx="320">
                  <c:v>7.8612891678768393E-2</c:v>
                </c:pt>
                <c:pt idx="321">
                  <c:v>7.7842690706601103E-2</c:v>
                </c:pt>
                <c:pt idx="322">
                  <c:v>7.7079874778057555E-2</c:v>
                </c:pt>
                <c:pt idx="323">
                  <c:v>7.632437635032685E-2</c:v>
                </c:pt>
                <c:pt idx="324">
                  <c:v>7.557612843050443E-2</c:v>
                </c:pt>
                <c:pt idx="325">
                  <c:v>7.4835064572590926E-2</c:v>
                </c:pt>
                <c:pt idx="326">
                  <c:v>7.4101118874471461E-2</c:v>
                </c:pt>
                <c:pt idx="327">
                  <c:v>7.3374225974875751E-2</c:v>
                </c:pt>
                <c:pt idx="328">
                  <c:v>7.2654321050321991E-2</c:v>
                </c:pt>
                <c:pt idx="329">
                  <c:v>7.1941339812043315E-2</c:v>
                </c:pt>
                <c:pt idx="330">
                  <c:v>7.1235218502900155E-2</c:v>
                </c:pt>
                <c:pt idx="331">
                  <c:v>7.0535893894277835E-2</c:v>
                </c:pt>
                <c:pt idx="332">
                  <c:v>6.9843303282971281E-2</c:v>
                </c:pt>
                <c:pt idx="333">
                  <c:v>6.9157384488057749E-2</c:v>
                </c:pt>
                <c:pt idx="334">
                  <c:v>6.847807584775889E-2</c:v>
                </c:pt>
                <c:pt idx="335">
                  <c:v>6.7805316216291822E-2</c:v>
                </c:pt>
                <c:pt idx="336">
                  <c:v>6.713904496071188E-2</c:v>
                </c:pt>
                <c:pt idx="337">
                  <c:v>6.6479201957746814E-2</c:v>
                </c:pt>
                <c:pt idx="338">
                  <c:v>6.5825727590623218E-2</c:v>
                </c:pt>
                <c:pt idx="339">
                  <c:v>6.5178562745886959E-2</c:v>
                </c:pt>
                <c:pt idx="340">
                  <c:v>6.453764881021784E-2</c:v>
                </c:pt>
                <c:pt idx="341">
                  <c:v>6.3902927667238707E-2</c:v>
                </c:pt>
                <c:pt idx="342">
                  <c:v>6.3274341694321445E-2</c:v>
                </c:pt>
                <c:pt idx="343">
                  <c:v>6.2651833759388653E-2</c:v>
                </c:pt>
                <c:pt idx="344">
                  <c:v>6.2035347217713199E-2</c:v>
                </c:pt>
                <c:pt idx="345">
                  <c:v>6.1424825908715674E-2</c:v>
                </c:pt>
                <c:pt idx="346">
                  <c:v>6.0820214152760843E-2</c:v>
                </c:pt>
                <c:pt idx="347">
                  <c:v>6.0221456747953317E-2</c:v>
                </c:pt>
                <c:pt idx="348">
                  <c:v>5.9628498966933119E-2</c:v>
                </c:pt>
                <c:pt idx="349">
                  <c:v>5.9041286553672578E-2</c:v>
                </c:pt>
                <c:pt idx="350">
                  <c:v>5.8459765720274115E-2</c:v>
                </c:pt>
                <c:pt idx="351">
                  <c:v>5.7883883143770021E-2</c:v>
                </c:pt>
                <c:pt idx="352">
                  <c:v>5.7313585962925129E-2</c:v>
                </c:pt>
                <c:pt idx="353">
                  <c:v>5.6748821775041813E-2</c:v>
                </c:pt>
                <c:pt idx="354">
                  <c:v>5.6189538632769653E-2</c:v>
                </c:pt>
                <c:pt idx="355">
                  <c:v>5.5635685040918204E-2</c:v>
                </c:pt>
                <c:pt idx="356">
                  <c:v>5.5087209953275207E-2</c:v>
                </c:pt>
                <c:pt idx="357">
                  <c:v>5.454406276942958E-2</c:v>
                </c:pt>
                <c:pt idx="358">
                  <c:v>5.4006193331600172E-2</c:v>
                </c:pt>
                <c:pt idx="359">
                  <c:v>5.3473551921470741E-2</c:v>
                </c:pt>
                <c:pt idx="360">
                  <c:v>5.2946089257031259E-2</c:v>
                </c:pt>
                <c:pt idx="361">
                  <c:v>5.2423756489426099E-2</c:v>
                </c:pt>
                <c:pt idx="362">
                  <c:v>5.1906505199810216E-2</c:v>
                </c:pt>
                <c:pt idx="363">
                  <c:v>5.1394287396212435E-2</c:v>
                </c:pt>
                <c:pt idx="364">
                  <c:v>5.0887055510407508E-2</c:v>
                </c:pt>
                <c:pt idx="365">
                  <c:v>5.0384762394796279E-2</c:v>
                </c:pt>
                <c:pt idx="366">
                  <c:v>4.9887361319295276E-2</c:v>
                </c:pt>
                <c:pt idx="367">
                  <c:v>4.93948059682352E-2</c:v>
                </c:pt>
                <c:pt idx="368">
                  <c:v>4.8907050437269284E-2</c:v>
                </c:pt>
                <c:pt idx="369">
                  <c:v>4.8424049230291533E-2</c:v>
                </c:pt>
                <c:pt idx="370">
                  <c:v>4.7945757256365407E-2</c:v>
                </c:pt>
                <c:pt idx="371">
                  <c:v>4.7472129826662823E-2</c:v>
                </c:pt>
                <c:pt idx="372">
                  <c:v>4.7003122651414375E-2</c:v>
                </c:pt>
                <c:pt idx="373">
                  <c:v>4.6538691836870316E-2</c:v>
                </c:pt>
                <c:pt idx="374">
                  <c:v>4.6078793882273539E-2</c:v>
                </c:pt>
                <c:pt idx="375">
                  <c:v>4.5623385676843653E-2</c:v>
                </c:pt>
                <c:pt idx="376">
                  <c:v>4.51724244967735E-2</c:v>
                </c:pt>
                <c:pt idx="377">
                  <c:v>4.4725868002237767E-2</c:v>
                </c:pt>
                <c:pt idx="378">
                  <c:v>4.4283674234413817E-2</c:v>
                </c:pt>
                <c:pt idx="379">
                  <c:v>4.3845801612515389E-2</c:v>
                </c:pt>
                <c:pt idx="380">
                  <c:v>4.341220893083908E-2</c:v>
                </c:pt>
                <c:pt idx="381">
                  <c:v>4.2982855355823912E-2</c:v>
                </c:pt>
                <c:pt idx="382">
                  <c:v>4.2557700423124456E-2</c:v>
                </c:pt>
                <c:pt idx="383">
                  <c:v>4.2136704034696937E-2</c:v>
                </c:pt>
                <c:pt idx="384">
                  <c:v>4.1719826455899223E-2</c:v>
                </c:pt>
                <c:pt idx="385">
                  <c:v>4.1307028312604688E-2</c:v>
                </c:pt>
                <c:pt idx="386">
                  <c:v>4.0898270588329844E-2</c:v>
                </c:pt>
                <c:pt idx="387">
                  <c:v>4.0493514621376625E-2</c:v>
                </c:pt>
                <c:pt idx="388">
                  <c:v>4.0092722101988221E-2</c:v>
                </c:pt>
                <c:pt idx="389">
                  <c:v>3.9695855069519892E-2</c:v>
                </c:pt>
                <c:pt idx="390">
                  <c:v>3.9302875909624113E-2</c:v>
                </c:pt>
                <c:pt idx="391">
                  <c:v>3.8913747351450367E-2</c:v>
                </c:pt>
                <c:pt idx="392">
                  <c:v>3.8528432464860041E-2</c:v>
                </c:pt>
                <c:pt idx="393">
                  <c:v>3.814689465765575E-2</c:v>
                </c:pt>
                <c:pt idx="394">
                  <c:v>3.7769097672826435E-2</c:v>
                </c:pt>
                <c:pt idx="395">
                  <c:v>3.7395005585806662E-2</c:v>
                </c:pt>
                <c:pt idx="396">
                  <c:v>3.7024582801751804E-2</c:v>
                </c:pt>
                <c:pt idx="397">
                  <c:v>3.6657794052828652E-2</c:v>
                </c:pt>
                <c:pt idx="398">
                  <c:v>3.6294604395520791E-2</c:v>
                </c:pt>
                <c:pt idx="399">
                  <c:v>3.5934979207949858E-2</c:v>
                </c:pt>
                <c:pt idx="400">
                  <c:v>3.5578884187212556E-2</c:v>
                </c:pt>
                <c:pt idx="401">
                  <c:v>3.5226285346732999E-2</c:v>
                </c:pt>
                <c:pt idx="402">
                  <c:v>3.4877149013630482E-2</c:v>
                </c:pt>
                <c:pt idx="403">
                  <c:v>3.4531441826103793E-2</c:v>
                </c:pt>
                <c:pt idx="404">
                  <c:v>3.4189130730830408E-2</c:v>
                </c:pt>
                <c:pt idx="405">
                  <c:v>3.3850182980382337E-2</c:v>
                </c:pt>
                <c:pt idx="406">
                  <c:v>3.3514566130657175E-2</c:v>
                </c:pt>
                <c:pt idx="407">
                  <c:v>3.3182248038325701E-2</c:v>
                </c:pt>
                <c:pt idx="408">
                  <c:v>3.2853196858294909E-2</c:v>
                </c:pt>
                <c:pt idx="409">
                  <c:v>3.2527381041187464E-2</c:v>
                </c:pt>
                <c:pt idx="410">
                  <c:v>3.2204769330836713E-2</c:v>
                </c:pt>
                <c:pt idx="411">
                  <c:v>3.1885330761798225E-2</c:v>
                </c:pt>
                <c:pt idx="412">
                  <c:v>3.1569034656877215E-2</c:v>
                </c:pt>
                <c:pt idx="413">
                  <c:v>3.1255850624671733E-2</c:v>
                </c:pt>
                <c:pt idx="414">
                  <c:v>3.0945748557132502E-2</c:v>
                </c:pt>
                <c:pt idx="415">
                  <c:v>3.0638698627138305E-2</c:v>
                </c:pt>
                <c:pt idx="416">
                  <c:v>3.0334671286088133E-2</c:v>
                </c:pt>
                <c:pt idx="417">
                  <c:v>3.0033637261508539E-2</c:v>
                </c:pt>
                <c:pt idx="418">
                  <c:v>2.9735567554677989E-2</c:v>
                </c:pt>
                <c:pt idx="419">
                  <c:v>2.9440433438266633E-2</c:v>
                </c:pt>
                <c:pt idx="420">
                  <c:v>2.914820645399252E-2</c:v>
                </c:pt>
                <c:pt idx="421">
                  <c:v>2.8858858410294008E-2</c:v>
                </c:pt>
                <c:pt idx="422">
                  <c:v>2.857236138001773E-2</c:v>
                </c:pt>
                <c:pt idx="423">
                  <c:v>2.8288687698123094E-2</c:v>
                </c:pt>
                <c:pt idx="424">
                  <c:v>2.8007809959402441E-2</c:v>
                </c:pt>
                <c:pt idx="425">
                  <c:v>2.7729701016217634E-2</c:v>
                </c:pt>
                <c:pt idx="426">
                  <c:v>2.7454333976252188E-2</c:v>
                </c:pt>
                <c:pt idx="427">
                  <c:v>2.7181682200279389E-2</c:v>
                </c:pt>
                <c:pt idx="428">
                  <c:v>2.6911719299946957E-2</c:v>
                </c:pt>
                <c:pt idx="429">
                  <c:v>2.664441913557658E-2</c:v>
                </c:pt>
                <c:pt idx="430">
                  <c:v>2.6379755813980221E-2</c:v>
                </c:pt>
                <c:pt idx="431">
                  <c:v>2.6117703686291627E-2</c:v>
                </c:pt>
                <c:pt idx="432">
                  <c:v>2.5858237345813939E-2</c:v>
                </c:pt>
                <c:pt idx="433">
                  <c:v>2.5601331625882962E-2</c:v>
                </c:pt>
                <c:pt idx="434">
                  <c:v>2.5346961597746076E-2</c:v>
                </c:pt>
                <c:pt idx="435">
                  <c:v>2.5095102568456928E-2</c:v>
                </c:pt>
                <c:pt idx="436">
                  <c:v>2.4845730078785544E-2</c:v>
                </c:pt>
                <c:pt idx="437">
                  <c:v>2.4598819901144209E-2</c:v>
                </c:pt>
                <c:pt idx="438">
                  <c:v>2.4354348037528672E-2</c:v>
                </c:pt>
                <c:pt idx="439">
                  <c:v>2.4112290717475005E-2</c:v>
                </c:pt>
                <c:pt idx="440">
                  <c:v>2.3872624396031439E-2</c:v>
                </c:pt>
                <c:pt idx="441">
                  <c:v>2.3635325751746206E-2</c:v>
                </c:pt>
                <c:pt idx="442">
                  <c:v>2.3400371684670351E-2</c:v>
                </c:pt>
                <c:pt idx="443">
                  <c:v>2.3167739314375435E-2</c:v>
                </c:pt>
                <c:pt idx="444">
                  <c:v>2.2937405977987102E-2</c:v>
                </c:pt>
                <c:pt idx="445">
                  <c:v>2.27093492282332E-2</c:v>
                </c:pt>
                <c:pt idx="446">
                  <c:v>2.2483546831507328E-2</c:v>
                </c:pt>
                <c:pt idx="447">
                  <c:v>2.2259976765947154E-2</c:v>
                </c:pt>
                <c:pt idx="448">
                  <c:v>2.2038617219527712E-2</c:v>
                </c:pt>
                <c:pt idx="449">
                  <c:v>2.1819446588169811E-2</c:v>
                </c:pt>
                <c:pt idx="450">
                  <c:v>2.1602443473862865E-2</c:v>
                </c:pt>
                <c:pt idx="451">
                  <c:v>2.1387586682802606E-2</c:v>
                </c:pt>
                <c:pt idx="452">
                  <c:v>2.1174855223543787E-2</c:v>
                </c:pt>
                <c:pt idx="453">
                  <c:v>2.0964228305166865E-2</c:v>
                </c:pt>
                <c:pt idx="454">
                  <c:v>2.0755685335460017E-2</c:v>
                </c:pt>
                <c:pt idx="455">
                  <c:v>2.0549205919114688E-2</c:v>
                </c:pt>
                <c:pt idx="456">
                  <c:v>2.0344769855936251E-2</c:v>
                </c:pt>
                <c:pt idx="457">
                  <c:v>2.0142357139068978E-2</c:v>
                </c:pt>
                <c:pt idx="458">
                  <c:v>1.9941947953234673E-2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03-4FA9-A117-E0B3B23DF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105104"/>
        <c:axId val="1676325584"/>
      </c:scatterChart>
      <c:valAx>
        <c:axId val="1666105104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325584"/>
        <c:crosses val="autoZero"/>
        <c:crossBetween val="midCat"/>
      </c:valAx>
      <c:valAx>
        <c:axId val="1676325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6105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das Probabilidades dos Estados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'DTMC - with Repair'!$G$1</c:f>
              <c:strCache>
                <c:ptCount val="1"/>
                <c:pt idx="0">
                  <c:v>Pr(S2)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'DTMC - with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with Repair'!$G$2:$G$460</c:f>
              <c:numCache>
                <c:formatCode>0.00%</c:formatCode>
                <c:ptCount val="459"/>
                <c:pt idx="0">
                  <c:v>1</c:v>
                </c:pt>
                <c:pt idx="1">
                  <c:v>0.98009999999999997</c:v>
                </c:pt>
                <c:pt idx="2">
                  <c:v>0.96098808999999996</c:v>
                </c:pt>
                <c:pt idx="3">
                  <c:v>0.94262933388100001</c:v>
                </c:pt>
                <c:pt idx="4">
                  <c:v>0.92499051104863295</c:v>
                </c:pt>
                <c:pt idx="5">
                  <c:v>0.90804002552165874</c:v>
                </c:pt>
                <c:pt idx="6">
                  <c:v>0.89174782007904874</c:v>
                </c:pt>
                <c:pt idx="7">
                  <c:v>0.87608529517612532</c:v>
                </c:pt>
                <c:pt idx="8">
                  <c:v>0.86102523235705219</c:v>
                </c:pt>
                <c:pt idx="9">
                  <c:v>0.84654172190681121</c:v>
                </c:pt>
                <c:pt idx="10">
                  <c:v>0.83261009450071777</c:v>
                </c:pt>
                <c:pt idx="11">
                  <c:v>0.81920685662356652</c:v>
                </c:pt>
                <c:pt idx="12">
                  <c:v>0.80630962954371965</c:v>
                </c:pt>
                <c:pt idx="13">
                  <c:v>0.79389709163989353</c:v>
                </c:pt>
                <c:pt idx="14">
                  <c:v>0.78194892389011728</c:v>
                </c:pt>
                <c:pt idx="15">
                  <c:v>0.77044575834336848</c:v>
                </c:pt>
                <c:pt idx="16">
                  <c:v>0.75936912940477796</c:v>
                </c:pt>
                <c:pt idx="17">
                  <c:v>0.74870142777507298</c:v>
                </c:pt>
                <c:pt idx="18">
                  <c:v>0.73842585689414009</c:v>
                </c:pt>
                <c:pt idx="19">
                  <c:v>0.72852639174725298</c:v>
                </c:pt>
                <c:pt idx="20">
                  <c:v>0.71898773990068021</c:v>
                </c:pt>
                <c:pt idx="21">
                  <c:v>0.70979530464106932</c:v>
                </c:pt>
                <c:pt idx="22">
                  <c:v>0.70093515010024576</c:v>
                </c:pt>
                <c:pt idx="23">
                  <c:v>0.692393968253881</c:v>
                </c:pt>
                <c:pt idx="24">
                  <c:v>0.68415904768889968</c:v>
                </c:pt>
                <c:pt idx="25">
                  <c:v>0.67621824404054398</c:v>
                </c:pt>
                <c:pt idx="26">
                  <c:v>0.66855995200570439</c:v>
                </c:pt>
                <c:pt idx="27">
                  <c:v>0.66117307884448506</c:v>
                </c:pt>
                <c:pt idx="28">
                  <c:v>0.65404701928702424</c:v>
                </c:pt>
                <c:pt idx="29">
                  <c:v>0.64717163176734205</c:v>
                </c:pt>
                <c:pt idx="30">
                  <c:v>0.64053721591046753</c:v>
                </c:pt>
                <c:pt idx="31">
                  <c:v>0.634134491203317</c:v>
                </c:pt>
                <c:pt idx="32">
                  <c:v>0.62795457678376432</c:v>
                </c:pt>
                <c:pt idx="33">
                  <c:v>0.6219889722860904</c:v>
                </c:pt>
                <c:pt idx="34">
                  <c:v>0.61622953968452154</c:v>
                </c:pt>
                <c:pt idx="35">
                  <c:v>0.61066848607988922</c:v>
                </c:pt>
                <c:pt idx="36">
                  <c:v>0.60529834737756905</c:v>
                </c:pt>
                <c:pt idx="37">
                  <c:v>0.60011197280780582</c:v>
                </c:pt>
                <c:pt idx="38">
                  <c:v>0.59510251024230809</c:v>
                </c:pt>
                <c:pt idx="39">
                  <c:v>0.59026339226360813</c:v>
                </c:pt>
                <c:pt idx="40">
                  <c:v>0.5855883229461506</c:v>
                </c:pt>
                <c:pt idx="41">
                  <c:v>0.58107126531039521</c:v>
                </c:pt>
                <c:pt idx="42">
                  <c:v>0.576706429413402</c:v>
                </c:pt>
                <c:pt idx="43">
                  <c:v>0.57248826104143569</c:v>
                </c:pt>
                <c:pt idx="44">
                  <c:v>0.56841143097206148</c:v>
                </c:pt>
                <c:pt idx="45">
                  <c:v>0.56447082477504207</c:v>
                </c:pt>
                <c:pt idx="46">
                  <c:v>0.56066153312306366</c:v>
                </c:pt>
                <c:pt idx="47">
                  <c:v>0.55697884258495045</c:v>
                </c:pt>
                <c:pt idx="48">
                  <c:v>0.55341822687555575</c:v>
                </c:pt>
                <c:pt idx="49">
                  <c:v>0.54997533853796499</c:v>
                </c:pt>
                <c:pt idx="50">
                  <c:v>0.54664600103500327</c:v>
                </c:pt>
                <c:pt idx="51">
                  <c:v>0.54342620122832763</c:v>
                </c:pt>
                <c:pt idx="52">
                  <c:v>0.54031208222459171</c:v>
                </c:pt>
                <c:pt idx="53">
                  <c:v>0.53729993656931085</c:v>
                </c:pt>
                <c:pt idx="54">
                  <c:v>0.53438619977013135</c:v>
                </c:pt>
                <c:pt idx="55">
                  <c:v>0.53156744413222123</c:v>
                </c:pt>
                <c:pt idx="56">
                  <c:v>0.52884037288945662</c:v>
                </c:pt>
                <c:pt idx="57">
                  <c:v>0.52620181461597582</c:v>
                </c:pt>
                <c:pt idx="58">
                  <c:v>0.52364871790352918</c:v>
                </c:pt>
                <c:pt idx="59">
                  <c:v>0.52117814629084747</c:v>
                </c:pt>
                <c:pt idx="60">
                  <c:v>0.51878727343201259</c:v>
                </c:pt>
                <c:pt idx="61">
                  <c:v>0.5164733784915263</c:v>
                </c:pt>
                <c:pt idx="62">
                  <c:v>0.51423384175444242</c:v>
                </c:pt>
                <c:pt idx="63">
                  <c:v>0.51206614044056731</c:v>
                </c:pt>
                <c:pt idx="64">
                  <c:v>0.50996784471232781</c:v>
                </c:pt>
                <c:pt idx="65">
                  <c:v>0.50793661386647326</c:v>
                </c:pt>
                <c:pt idx="66">
                  <c:v>0.50597019270030941</c:v>
                </c:pt>
                <c:pt idx="67">
                  <c:v>0.50406640804366554</c:v>
                </c:pt>
                <c:pt idx="68">
                  <c:v>0.50222316544827084</c:v>
                </c:pt>
                <c:pt idx="69">
                  <c:v>0.50043844602666454</c:v>
                </c:pt>
                <c:pt idx="70">
                  <c:v>0.49871030343318351</c:v>
                </c:pt>
                <c:pt idx="71">
                  <c:v>0.4970368609799764</c:v>
                </c:pt>
                <c:pt idx="72">
                  <c:v>0.49541630888136295</c:v>
                </c:pt>
                <c:pt idx="73">
                  <c:v>0.49384690162021844</c:v>
                </c:pt>
                <c:pt idx="74">
                  <c:v>0.49232695543039529</c:v>
                </c:pt>
                <c:pt idx="75">
                  <c:v>0.49085484588951273</c:v>
                </c:pt>
                <c:pt idx="76">
                  <c:v>0.48942900561674468</c:v>
                </c:pt>
                <c:pt idx="77">
                  <c:v>0.48804792207051817</c:v>
                </c:pt>
                <c:pt idx="78">
                  <c:v>0.48671013544130198</c:v>
                </c:pt>
                <c:pt idx="79">
                  <c:v>0.48541423663491789</c:v>
                </c:pt>
                <c:pt idx="80">
                  <c:v>0.48415886534204516</c:v>
                </c:pt>
                <c:pt idx="81">
                  <c:v>0.48294270818981372</c:v>
                </c:pt>
                <c:pt idx="82">
                  <c:v>0.48176449697159462</c:v>
                </c:pt>
                <c:pt idx="83">
                  <c:v>0.48062300695129834</c:v>
                </c:pt>
                <c:pt idx="84">
                  <c:v>0.47951705523867982</c:v>
                </c:pt>
                <c:pt idx="85">
                  <c:v>0.47844549923233098</c:v>
                </c:pt>
                <c:pt idx="86">
                  <c:v>0.47740723512720956</c:v>
                </c:pt>
                <c:pt idx="87">
                  <c:v>0.47640119648371559</c:v>
                </c:pt>
                <c:pt idx="88">
                  <c:v>0.47542635285547635</c:v>
                </c:pt>
                <c:pt idx="89">
                  <c:v>0.47448170847314763</c:v>
                </c:pt>
                <c:pt idx="90">
                  <c:v>0.47356630098167163</c:v>
                </c:pt>
                <c:pt idx="91">
                  <c:v>0.47267920022856325</c:v>
                </c:pt>
                <c:pt idx="92">
                  <c:v>0.47181950710091625</c:v>
                </c:pt>
                <c:pt idx="93">
                  <c:v>0.47098635240893744</c:v>
                </c:pt>
                <c:pt idx="94">
                  <c:v>0.47017889581392397</c:v>
                </c:pt>
                <c:pt idx="95">
                  <c:v>0.46939632479870513</c:v>
                </c:pt>
                <c:pt idx="96">
                  <c:v>0.46863785367866417</c:v>
                </c:pt>
                <c:pt idx="97">
                  <c:v>0.46790272265155081</c:v>
                </c:pt>
                <c:pt idx="98">
                  <c:v>0.46719019688438096</c:v>
                </c:pt>
                <c:pt idx="99">
                  <c:v>0.46649956563580475</c:v>
                </c:pt>
                <c:pt idx="100">
                  <c:v>0.46583014141240064</c:v>
                </c:pt>
                <c:pt idx="101">
                  <c:v>0.46518125915742958</c:v>
                </c:pt>
                <c:pt idx="102">
                  <c:v>0.46455227547065225</c:v>
                </c:pt>
                <c:pt idx="103">
                  <c:v>0.46394256785788068</c:v>
                </c:pt>
                <c:pt idx="104">
                  <c:v>0.46335153400899753</c:v>
                </c:pt>
                <c:pt idx="105">
                  <c:v>0.46277859110323788</c:v>
                </c:pt>
                <c:pt idx="106">
                  <c:v>0.46222317514058342</c:v>
                </c:pt>
                <c:pt idx="107">
                  <c:v>0.46168474029817547</c:v>
                </c:pt>
                <c:pt idx="108">
                  <c:v>0.46116275831070175</c:v>
                </c:pt>
                <c:pt idx="109">
                  <c:v>0.46065671787376333</c:v>
                </c:pt>
                <c:pt idx="110">
                  <c:v>0.46016612406927121</c:v>
                </c:pt>
                <c:pt idx="111">
                  <c:v>0.45969049781196919</c:v>
                </c:pt>
                <c:pt idx="112">
                  <c:v>0.45922937531621794</c:v>
                </c:pt>
                <c:pt idx="113">
                  <c:v>0.4587823075822175</c:v>
                </c:pt>
                <c:pt idx="114">
                  <c:v>0.45834885990088081</c:v>
                </c:pt>
                <c:pt idx="115">
                  <c:v>0.45792861137660801</c:v>
                </c:pt>
                <c:pt idx="116">
                  <c:v>0.45752115446724362</c:v>
                </c:pt>
                <c:pt idx="117">
                  <c:v>0.45712609454053288</c:v>
                </c:pt>
                <c:pt idx="118">
                  <c:v>0.45674304944642163</c:v>
                </c:pt>
                <c:pt idx="119">
                  <c:v>0.45637164910457534</c:v>
                </c:pt>
                <c:pt idx="120">
                  <c:v>0.45601153510651898</c:v>
                </c:pt>
                <c:pt idx="121">
                  <c:v>0.455662360331827</c:v>
                </c:pt>
                <c:pt idx="122">
                  <c:v>0.45532378857781625</c:v>
                </c:pt>
                <c:pt idx="123">
                  <c:v>0.45499549420221952</c:v>
                </c:pt>
                <c:pt idx="124">
                  <c:v>0.45467716177834</c:v>
                </c:pt>
                <c:pt idx="125">
                  <c:v>0.45436848576220767</c:v>
                </c:pt>
                <c:pt idx="126">
                  <c:v>0.45406917017127968</c:v>
                </c:pt>
                <c:pt idx="127">
                  <c:v>0.45377892827424698</c:v>
                </c:pt>
                <c:pt idx="128">
                  <c:v>0.4534974822915262</c:v>
                </c:pt>
                <c:pt idx="129">
                  <c:v>0.45322456310603559</c:v>
                </c:pt>
                <c:pt idx="130">
                  <c:v>0.45295990998386937</c:v>
                </c:pt>
                <c:pt idx="131">
                  <c:v>0.45270327030450108</c:v>
                </c:pt>
                <c:pt idx="132">
                  <c:v>0.45245439930016312</c:v>
                </c:pt>
                <c:pt idx="133">
                  <c:v>0.45221305980406179</c:v>
                </c:pt>
                <c:pt idx="134">
                  <c:v>0.45197902200710388</c:v>
                </c:pt>
                <c:pt idx="135">
                  <c:v>0.4517520632228223</c:v>
                </c:pt>
                <c:pt idx="136">
                  <c:v>0.45153196766020159</c:v>
                </c:pt>
                <c:pt idx="137">
                  <c:v>0.45131852620411639</c:v>
                </c:pt>
                <c:pt idx="138">
                  <c:v>0.45111153620310679</c:v>
                </c:pt>
                <c:pt idx="139">
                  <c:v>0.45091080126422722</c:v>
                </c:pt>
                <c:pt idx="140">
                  <c:v>0.45071613105471381</c:v>
                </c:pt>
                <c:pt idx="141">
                  <c:v>0.45052734111022646</c:v>
                </c:pt>
                <c:pt idx="142">
                  <c:v>0.45034425264943301</c:v>
                </c:pt>
                <c:pt idx="143">
                  <c:v>0.45016669239470775</c:v>
                </c:pt>
                <c:pt idx="144">
                  <c:v>0.44999449239873107</c:v>
                </c:pt>
                <c:pt idx="145">
                  <c:v>0.44982748987678012</c:v>
                </c:pt>
                <c:pt idx="146">
                  <c:v>0.44966552704451201</c:v>
                </c:pt>
                <c:pt idx="147">
                  <c:v>0.44950845096104747</c:v>
                </c:pt>
                <c:pt idx="148">
                  <c:v>0.44935611337716969</c:v>
                </c:pt>
                <c:pt idx="149">
                  <c:v>0.44920837058846147</c:v>
                </c:pt>
                <c:pt idx="150">
                  <c:v>0.44906508329320943</c:v>
                </c:pt>
                <c:pt idx="151">
                  <c:v>0.44892611645491104</c:v>
                </c:pt>
                <c:pt idx="152">
                  <c:v>0.44879133916922614</c:v>
                </c:pt>
                <c:pt idx="153">
                  <c:v>0.44866062453522115</c:v>
                </c:pt>
                <c:pt idx="154">
                  <c:v>0.44853384953075903</c:v>
                </c:pt>
                <c:pt idx="155">
                  <c:v>0.44841089489189345</c:v>
                </c:pt>
                <c:pt idx="156">
                  <c:v>0.44829164499613283</c:v>
                </c:pt>
                <c:pt idx="157">
                  <c:v>0.44817598774944117</c:v>
                </c:pt>
                <c:pt idx="158">
                  <c:v>0.44806381447685156</c:v>
                </c:pt>
                <c:pt idx="159">
                  <c:v>0.44795501981656988</c:v>
                </c:pt>
                <c:pt idx="160">
                  <c:v>0.44784950161745185</c:v>
                </c:pt>
                <c:pt idx="161">
                  <c:v>0.44774716083974042</c:v>
                </c:pt>
                <c:pt idx="162">
                  <c:v>0.44764790145895533</c:v>
                </c:pt>
                <c:pt idx="163">
                  <c:v>0.4475516303728293</c:v>
                </c:pt>
                <c:pt idx="164">
                  <c:v>0.44745825731119043</c:v>
                </c:pt>
                <c:pt idx="165">
                  <c:v>0.44736769474869253</c:v>
                </c:pt>
                <c:pt idx="166">
                  <c:v>0.44727985782030044</c:v>
                </c:pt>
                <c:pt idx="167">
                  <c:v>0.44719466423943866</c:v>
                </c:pt>
                <c:pt idx="168">
                  <c:v>0.44711203421871626</c:v>
                </c:pt>
                <c:pt idx="169">
                  <c:v>0.44703189039314373</c:v>
                </c:pt>
                <c:pt idx="170">
                  <c:v>0.44695415774575986</c:v>
                </c:pt>
                <c:pt idx="171">
                  <c:v>0.44687876353559086</c:v>
                </c:pt>
                <c:pt idx="172">
                  <c:v>0.44680563722786465</c:v>
                </c:pt>
                <c:pt idx="173">
                  <c:v>0.44673471042640822</c:v>
                </c:pt>
                <c:pt idx="174">
                  <c:v>0.44666591680815659</c:v>
                </c:pt>
                <c:pt idx="175">
                  <c:v>0.44659919205970516</c:v>
                </c:pt>
                <c:pt idx="176">
                  <c:v>0.44653447381583988</c:v>
                </c:pt>
                <c:pt idx="177">
                  <c:v>0.44647170159998112</c:v>
                </c:pt>
                <c:pt idx="178">
                  <c:v>0.44641081676647992</c:v>
                </c:pt>
                <c:pt idx="179">
                  <c:v>0.44635176244470687</c:v>
                </c:pt>
                <c:pt idx="180">
                  <c:v>0.44629448348487682</c:v>
                </c:pt>
                <c:pt idx="181">
                  <c:v>0.44623892640555318</c:v>
                </c:pt>
                <c:pt idx="182">
                  <c:v>0.44618503934277859</c:v>
                </c:pt>
                <c:pt idx="183">
                  <c:v>0.44613277200078016</c:v>
                </c:pt>
                <c:pt idx="184">
                  <c:v>0.44608207560419905</c:v>
                </c:pt>
                <c:pt idx="185">
                  <c:v>0.44603290285179586</c:v>
                </c:pt>
                <c:pt idx="186">
                  <c:v>0.44598520787158563</c:v>
                </c:pt>
                <c:pt idx="187">
                  <c:v>0.44593894617735585</c:v>
                </c:pt>
                <c:pt idx="188">
                  <c:v>0.44589407462652564</c:v>
                </c:pt>
                <c:pt idx="189">
                  <c:v>0.44585055137930191</c:v>
                </c:pt>
                <c:pt idx="190">
                  <c:v>0.44580833585909296</c:v>
                </c:pt>
                <c:pt idx="191">
                  <c:v>0.44576738871413907</c:v>
                </c:pt>
                <c:pt idx="192">
                  <c:v>0.44572767178032241</c:v>
                </c:pt>
                <c:pt idx="193">
                  <c:v>0.44568914804511867</c:v>
                </c:pt>
                <c:pt idx="194">
                  <c:v>0.44565178161265512</c:v>
                </c:pt>
                <c:pt idx="195">
                  <c:v>0.44561553766984008</c:v>
                </c:pt>
                <c:pt idx="196">
                  <c:v>0.44558038245353054</c:v>
                </c:pt>
                <c:pt idx="197">
                  <c:v>0.44554628321870554</c:v>
                </c:pt>
                <c:pt idx="198">
                  <c:v>0.44551320820761336</c:v>
                </c:pt>
                <c:pt idx="199">
                  <c:v>0.44548112661986272</c:v>
                </c:pt>
                <c:pt idx="200">
                  <c:v>0.44545000858342859</c:v>
                </c:pt>
                <c:pt idx="201">
                  <c:v>0.44541982512654371</c:v>
                </c:pt>
                <c:pt idx="202">
                  <c:v>0.44539054815044882</c:v>
                </c:pt>
                <c:pt idx="203">
                  <c:v>0.44536215040297455</c:v>
                </c:pt>
                <c:pt idx="204">
                  <c:v>0.44533460545292958</c:v>
                </c:pt>
                <c:pt idx="205">
                  <c:v>0.44530788766526913</c:v>
                </c:pt>
                <c:pt idx="206">
                  <c:v>0.44528197217702115</c:v>
                </c:pt>
                <c:pt idx="207">
                  <c:v>0.44525683487394557</c:v>
                </c:pt>
                <c:pt idx="208">
                  <c:v>0.4452324523679041</c:v>
                </c:pt>
                <c:pt idx="209">
                  <c:v>0.44520880197491941</c:v>
                </c:pt>
                <c:pt idx="210">
                  <c:v>0.44518586169390134</c:v>
                </c:pt>
                <c:pt idx="211">
                  <c:v>0.44516361018602041</c:v>
                </c:pt>
                <c:pt idx="212">
                  <c:v>0.44514202675470843</c:v>
                </c:pt>
                <c:pt idx="213">
                  <c:v>0.44512109132626648</c:v>
                </c:pt>
                <c:pt idx="214">
                  <c:v>0.44510078443106266</c:v>
                </c:pt>
                <c:pt idx="215">
                  <c:v>0.44508108718529998</c:v>
                </c:pt>
                <c:pt idx="216">
                  <c:v>0.44506198127333851</c:v>
                </c:pt>
                <c:pt idx="217">
                  <c:v>0.44504344893055325</c:v>
                </c:pt>
                <c:pt idx="218">
                  <c:v>0.44502547292671252</c:v>
                </c:pt>
                <c:pt idx="219">
                  <c:v>0.4450080365498601</c:v>
                </c:pt>
                <c:pt idx="220">
                  <c:v>0.44499112359068616</c:v>
                </c:pt>
                <c:pt idx="221">
                  <c:v>0.44497471832737173</c:v>
                </c:pt>
                <c:pt idx="222">
                  <c:v>0.44495880551089229</c:v>
                </c:pt>
                <c:pt idx="223">
                  <c:v>0.44494337035076675</c:v>
                </c:pt>
                <c:pt idx="224">
                  <c:v>0.44492839850123761</c:v>
                </c:pt>
                <c:pt idx="225">
                  <c:v>0.44491387604786953</c:v>
                </c:pt>
                <c:pt idx="226">
                  <c:v>0.44489978949455389</c:v>
                </c:pt>
                <c:pt idx="227">
                  <c:v>0.4448861257509058</c:v>
                </c:pt>
                <c:pt idx="228">
                  <c:v>0.44487287212004289</c:v>
                </c:pt>
                <c:pt idx="229">
                  <c:v>0.4448600162867335</c:v>
                </c:pt>
                <c:pt idx="230">
                  <c:v>0.44484754630590312</c:v>
                </c:pt>
                <c:pt idx="231">
                  <c:v>0.44483545059148832</c:v>
                </c:pt>
                <c:pt idx="232">
                  <c:v>0.44482371790562758</c:v>
                </c:pt>
                <c:pt idx="233">
                  <c:v>0.44481233734817827</c:v>
                </c:pt>
                <c:pt idx="234">
                  <c:v>0.44480129834655102</c:v>
                </c:pt>
                <c:pt idx="235">
                  <c:v>0.44479059064585047</c:v>
                </c:pt>
                <c:pt idx="236">
                  <c:v>0.44478020429931386</c:v>
                </c:pt>
                <c:pt idx="237">
                  <c:v>0.4447701296590385</c:v>
                </c:pt>
                <c:pt idx="238">
                  <c:v>0.44476035736698905</c:v>
                </c:pt>
                <c:pt idx="239">
                  <c:v>0.44475087834627569</c:v>
                </c:pt>
                <c:pt idx="240">
                  <c:v>0.44474168379269619</c:v>
                </c:pt>
                <c:pt idx="241">
                  <c:v>0.44473276516653271</c:v>
                </c:pt>
                <c:pt idx="242">
                  <c:v>0.4447241141845959</c:v>
                </c:pt>
                <c:pt idx="243">
                  <c:v>0.44471572281250937</c:v>
                </c:pt>
                <c:pt idx="244">
                  <c:v>0.44470758325722648</c:v>
                </c:pt>
                <c:pt idx="245">
                  <c:v>0.44469968795977272</c:v>
                </c:pt>
                <c:pt idx="246">
                  <c:v>0.44469202958820703</c:v>
                </c:pt>
                <c:pt idx="247">
                  <c:v>0.44468460103079516</c:v>
                </c:pt>
                <c:pt idx="248">
                  <c:v>0.44467739538938877</c:v>
                </c:pt>
                <c:pt idx="249">
                  <c:v>0.44467040597300406</c:v>
                </c:pt>
                <c:pt idx="250">
                  <c:v>0.44466362629159378</c:v>
                </c:pt>
                <c:pt idx="251">
                  <c:v>0.44465705005000705</c:v>
                </c:pt>
                <c:pt idx="252">
                  <c:v>0.44465067114213075</c:v>
                </c:pt>
                <c:pt idx="253">
                  <c:v>0.44464448364520753</c:v>
                </c:pt>
                <c:pt idx="254">
                  <c:v>0.44463848181432514</c:v>
                </c:pt>
                <c:pt idx="255">
                  <c:v>0.44463266007707142</c:v>
                </c:pt>
                <c:pt idx="256">
                  <c:v>0.44462701302835023</c:v>
                </c:pt>
                <c:pt idx="257">
                  <c:v>0.44462153542535343</c:v>
                </c:pt>
                <c:pt idx="258">
                  <c:v>0.44461622218268432</c:v>
                </c:pt>
                <c:pt idx="259">
                  <c:v>0.44461106836762793</c:v>
                </c:pt>
                <c:pt idx="260">
                  <c:v>0.44460606919556311</c:v>
                </c:pt>
                <c:pt idx="261">
                  <c:v>0.44460122002551344</c:v>
                </c:pt>
                <c:pt idx="262">
                  <c:v>0.44459651635583147</c:v>
                </c:pt>
                <c:pt idx="263">
                  <c:v>0.44459195382001288</c:v>
                </c:pt>
                <c:pt idx="264">
                  <c:v>0.44458752818263686</c:v>
                </c:pt>
                <c:pt idx="265">
                  <c:v>0.44458323533542815</c:v>
                </c:pt>
                <c:pt idx="266">
                  <c:v>0.44457907129343788</c:v>
                </c:pt>
                <c:pt idx="267">
                  <c:v>0.4445750321913392</c:v>
                </c:pt>
                <c:pt idx="268">
                  <c:v>0.44457111427983431</c:v>
                </c:pt>
                <c:pt idx="269">
                  <c:v>0.44456731392216925</c:v>
                </c:pt>
                <c:pt idx="270">
                  <c:v>0.44456362759075396</c:v>
                </c:pt>
                <c:pt idx="271">
                  <c:v>0.44456005186388375</c:v>
                </c:pt>
                <c:pt idx="272">
                  <c:v>0.44455658342255927</c:v>
                </c:pt>
                <c:pt idx="273">
                  <c:v>0.44455321904740208</c:v>
                </c:pt>
                <c:pt idx="274">
                  <c:v>0.44454995561566318</c:v>
                </c:pt>
                <c:pt idx="275">
                  <c:v>0.44454679009832115</c:v>
                </c:pt>
                <c:pt idx="276">
                  <c:v>0.44454371955726779</c:v>
                </c:pt>
                <c:pt idx="277">
                  <c:v>0.44454074114257791</c:v>
                </c:pt>
                <c:pt idx="278">
                  <c:v>0.44453785208986185</c:v>
                </c:pt>
                <c:pt idx="279">
                  <c:v>0.44453504971769703</c:v>
                </c:pt>
                <c:pt idx="280">
                  <c:v>0.44453233142513671</c:v>
                </c:pt>
                <c:pt idx="281">
                  <c:v>0.44452969468929404</c:v>
                </c:pt>
                <c:pt idx="282">
                  <c:v>0.44452713706299818</c:v>
                </c:pt>
                <c:pt idx="283">
                  <c:v>0.44452465617252113</c:v>
                </c:pt>
                <c:pt idx="284">
                  <c:v>0.44452224971537291</c:v>
                </c:pt>
                <c:pt idx="285">
                  <c:v>0.44451991545816272</c:v>
                </c:pt>
                <c:pt idx="286">
                  <c:v>0.44451765123452458</c:v>
                </c:pt>
                <c:pt idx="287">
                  <c:v>0.44451545494310518</c:v>
                </c:pt>
                <c:pt idx="288">
                  <c:v>0.44451332454561249</c:v>
                </c:pt>
                <c:pt idx="289">
                  <c:v>0.44451125806492225</c:v>
                </c:pt>
                <c:pt idx="290">
                  <c:v>0.44450925358324217</c:v>
                </c:pt>
                <c:pt idx="291">
                  <c:v>0.44450730924033066</c:v>
                </c:pt>
                <c:pt idx="292">
                  <c:v>0.44450542323176945</c:v>
                </c:pt>
                <c:pt idx="293">
                  <c:v>0.44450359380728788</c:v>
                </c:pt>
                <c:pt idx="294">
                  <c:v>0.44450181926913773</c:v>
                </c:pt>
                <c:pt idx="295">
                  <c:v>0.44450009797051637</c:v>
                </c:pt>
                <c:pt idx="296">
                  <c:v>0.44449842831403802</c:v>
                </c:pt>
                <c:pt idx="297">
                  <c:v>0.44449680875025016</c:v>
                </c:pt>
                <c:pt idx="298">
                  <c:v>0.44449523777619498</c:v>
                </c:pt>
                <c:pt idx="299">
                  <c:v>0.44449371393401393</c:v>
                </c:pt>
                <c:pt idx="300">
                  <c:v>0.44449223580959402</c:v>
                </c:pt>
                <c:pt idx="301">
                  <c:v>0.44449080203125491</c:v>
                </c:pt>
                <c:pt idx="302">
                  <c:v>0.44448941126847535</c:v>
                </c:pt>
                <c:pt idx="303">
                  <c:v>0.44448806223065801</c:v>
                </c:pt>
                <c:pt idx="304">
                  <c:v>0.44448675366593121</c:v>
                </c:pt>
                <c:pt idx="305">
                  <c:v>0.44448548435998653</c:v>
                </c:pt>
                <c:pt idx="306">
                  <c:v>0.44448425313495188</c:v>
                </c:pt>
                <c:pt idx="307">
                  <c:v>0.44448305884829753</c:v>
                </c:pt>
                <c:pt idx="308">
                  <c:v>0.44448190039177582</c:v>
                </c:pt>
                <c:pt idx="309">
                  <c:v>0.44448077669039215</c:v>
                </c:pt>
                <c:pt idx="310">
                  <c:v>0.44447968670140714</c:v>
                </c:pt>
                <c:pt idx="311">
                  <c:v>0.44447862941336858</c:v>
                </c:pt>
                <c:pt idx="312">
                  <c:v>0.44447760384517265</c:v>
                </c:pt>
                <c:pt idx="313">
                  <c:v>0.44447660904515307</c:v>
                </c:pt>
                <c:pt idx="314">
                  <c:v>0.44447564409019774</c:v>
                </c:pt>
                <c:pt idx="315">
                  <c:v>0.44447470808489187</c:v>
                </c:pt>
                <c:pt idx="316">
                  <c:v>0.44447380016068677</c:v>
                </c:pt>
                <c:pt idx="317">
                  <c:v>0.44447291947509387</c:v>
                </c:pt>
                <c:pt idx="318">
                  <c:v>0.44447206521090238</c:v>
                </c:pt>
                <c:pt idx="319">
                  <c:v>0.44447123657542098</c:v>
                </c:pt>
                <c:pt idx="320">
                  <c:v>0.44447043279974202</c:v>
                </c:pt>
                <c:pt idx="321">
                  <c:v>0.44446965313802783</c:v>
                </c:pt>
                <c:pt idx="322">
                  <c:v>0.4444688968668184</c:v>
                </c:pt>
                <c:pt idx="323">
                  <c:v>0.44446816328436001</c:v>
                </c:pt>
                <c:pt idx="324">
                  <c:v>0.44446745170995378</c:v>
                </c:pt>
                <c:pt idx="325">
                  <c:v>0.44446676148332398</c:v>
                </c:pt>
                <c:pt idx="326">
                  <c:v>0.44446609196400511</c:v>
                </c:pt>
                <c:pt idx="327">
                  <c:v>0.4444654425307476</c:v>
                </c:pt>
                <c:pt idx="328">
                  <c:v>0.44446481258094112</c:v>
                </c:pt>
                <c:pt idx="329">
                  <c:v>0.44446420153005534</c:v>
                </c:pt>
                <c:pt idx="330">
                  <c:v>0.44446360881109748</c:v>
                </c:pt>
                <c:pt idx="331">
                  <c:v>0.44446303387408598</c:v>
                </c:pt>
                <c:pt idx="332">
                  <c:v>0.44446247618554013</c:v>
                </c:pt>
                <c:pt idx="333">
                  <c:v>0.44446193522798499</c:v>
                </c:pt>
                <c:pt idx="334">
                  <c:v>0.44446141049947102</c:v>
                </c:pt>
                <c:pt idx="335">
                  <c:v>0.44446090151310841</c:v>
                </c:pt>
                <c:pt idx="336">
                  <c:v>0.44446040779661516</c:v>
                </c:pt>
                <c:pt idx="337">
                  <c:v>0.44445992889187869</c:v>
                </c:pt>
                <c:pt idx="338">
                  <c:v>0.44445946435453082</c:v>
                </c:pt>
                <c:pt idx="339">
                  <c:v>0.4444590137535353</c:v>
                </c:pt>
                <c:pt idx="340">
                  <c:v>0.44445857667078786</c:v>
                </c:pt>
                <c:pt idx="341">
                  <c:v>0.44445815270072825</c:v>
                </c:pt>
                <c:pt idx="342">
                  <c:v>0.44445774144996358</c:v>
                </c:pt>
                <c:pt idx="343">
                  <c:v>0.44445734253690361</c:v>
                </c:pt>
                <c:pt idx="344">
                  <c:v>0.44445695559140658</c:v>
                </c:pt>
                <c:pt idx="345">
                  <c:v>0.44445658025443535</c:v>
                </c:pt>
                <c:pt idx="346">
                  <c:v>0.44445621617772468</c:v>
                </c:pt>
                <c:pt idx="347">
                  <c:v>0.4444558630234578</c:v>
                </c:pt>
                <c:pt idx="348">
                  <c:v>0.44445552046395298</c:v>
                </c:pt>
                <c:pt idx="349">
                  <c:v>0.44445518818135943</c:v>
                </c:pt>
                <c:pt idx="350">
                  <c:v>0.44445486586736238</c:v>
                </c:pt>
                <c:pt idx="351">
                  <c:v>0.4444545532228969</c:v>
                </c:pt>
                <c:pt idx="352">
                  <c:v>0.44445424995787042</c:v>
                </c:pt>
                <c:pt idx="353">
                  <c:v>0.44445395579089358</c:v>
                </c:pt>
                <c:pt idx="354">
                  <c:v>0.44445367044901907</c:v>
                </c:pt>
                <c:pt idx="355">
                  <c:v>0.44445339366748837</c:v>
                </c:pt>
                <c:pt idx="356">
                  <c:v>0.44445312518948588</c:v>
                </c:pt>
                <c:pt idx="357">
                  <c:v>0.44445286476590096</c:v>
                </c:pt>
                <c:pt idx="358">
                  <c:v>0.44445261215509646</c:v>
                </c:pt>
                <c:pt idx="359">
                  <c:v>0.44445236712268466</c:v>
                </c:pt>
                <c:pt idx="360">
                  <c:v>0.4444521294413098</c:v>
                </c:pt>
                <c:pt idx="361">
                  <c:v>0.4444518988904369</c:v>
                </c:pt>
                <c:pt idx="362">
                  <c:v>0.44445167525614726</c:v>
                </c:pt>
                <c:pt idx="363">
                  <c:v>0.44445145833094013</c:v>
                </c:pt>
                <c:pt idx="364">
                  <c:v>0.44445124791353985</c:v>
                </c:pt>
                <c:pt idx="365">
                  <c:v>0.44445104380870903</c:v>
                </c:pt>
                <c:pt idx="366">
                  <c:v>0.44445084582706795</c:v>
                </c:pt>
                <c:pt idx="367">
                  <c:v>0.44445065378491821</c:v>
                </c:pt>
                <c:pt idx="368">
                  <c:v>0.44445046750407258</c:v>
                </c:pt>
                <c:pt idx="369">
                  <c:v>0.44445028681168963</c:v>
                </c:pt>
                <c:pt idx="370">
                  <c:v>0.44445011154011332</c:v>
                </c:pt>
                <c:pt idx="371">
                  <c:v>0.4444499415267173</c:v>
                </c:pt>
                <c:pt idx="372">
                  <c:v>0.44444977661375423</c:v>
                </c:pt>
                <c:pt idx="373">
                  <c:v>0.44444961664820931</c:v>
                </c:pt>
                <c:pt idx="374">
                  <c:v>0.4444494614816582</c:v>
                </c:pt>
                <c:pt idx="375">
                  <c:v>0.44444931097012952</c:v>
                </c:pt>
                <c:pt idx="376">
                  <c:v>0.44444916497397108</c:v>
                </c:pt>
                <c:pt idx="377">
                  <c:v>0.44444902335772024</c:v>
                </c:pt>
                <c:pt idx="378">
                  <c:v>0.4444488859899785</c:v>
                </c:pt>
                <c:pt idx="379">
                  <c:v>0.44444875274328932</c:v>
                </c:pt>
                <c:pt idx="380">
                  <c:v>0.44444862349401987</c:v>
                </c:pt>
                <c:pt idx="381">
                  <c:v>0.44444849812224646</c:v>
                </c:pt>
                <c:pt idx="382">
                  <c:v>0.44444837651164315</c:v>
                </c:pt>
                <c:pt idx="383">
                  <c:v>0.44444825854937386</c:v>
                </c:pt>
                <c:pt idx="384">
                  <c:v>0.4444481441259876</c:v>
                </c:pt>
                <c:pt idx="385">
                  <c:v>0.444448033135317</c:v>
                </c:pt>
                <c:pt idx="386">
                  <c:v>0.44444792547437978</c:v>
                </c:pt>
                <c:pt idx="387">
                  <c:v>0.44444782104328306</c:v>
                </c:pt>
                <c:pt idx="388">
                  <c:v>0.44444771974513109</c:v>
                </c:pt>
                <c:pt idx="389">
                  <c:v>0.4444476214859347</c:v>
                </c:pt>
                <c:pt idx="390">
                  <c:v>0.44444752617452454</c:v>
                </c:pt>
                <c:pt idx="391">
                  <c:v>0.44444743372246648</c:v>
                </c:pt>
                <c:pt idx="392">
                  <c:v>0.44444734404397929</c:v>
                </c:pt>
                <c:pt idx="393">
                  <c:v>0.44444725705585536</c:v>
                </c:pt>
                <c:pt idx="394">
                  <c:v>0.44444717267738326</c:v>
                </c:pt>
                <c:pt idx="395">
                  <c:v>0.44444709083027301</c:v>
                </c:pt>
                <c:pt idx="396">
                  <c:v>0.44444701143858328</c:v>
                </c:pt>
                <c:pt idx="397">
                  <c:v>0.44444693442865096</c:v>
                </c:pt>
                <c:pt idx="398">
                  <c:v>0.44444685972902304</c:v>
                </c:pt>
                <c:pt idx="399">
                  <c:v>0.44444678727038989</c:v>
                </c:pt>
                <c:pt idx="400">
                  <c:v>0.44444671698552141</c:v>
                </c:pt>
                <c:pt idx="401">
                  <c:v>0.44444664880920431</c:v>
                </c:pt>
                <c:pt idx="402">
                  <c:v>0.44444658267818171</c:v>
                </c:pt>
                <c:pt idx="403">
                  <c:v>0.44444651853109451</c:v>
                </c:pt>
                <c:pt idx="404">
                  <c:v>0.44444645630842433</c:v>
                </c:pt>
                <c:pt idx="405">
                  <c:v>0.4444463959524384</c:v>
                </c:pt>
                <c:pt idx="406">
                  <c:v>0.44444633740713596</c:v>
                </c:pt>
                <c:pt idx="407">
                  <c:v>0.4444462806181963</c:v>
                </c:pt>
                <c:pt idx="408">
                  <c:v>0.44444622553292829</c:v>
                </c:pt>
                <c:pt idx="409">
                  <c:v>0.44444617210022158</c:v>
                </c:pt>
                <c:pt idx="410">
                  <c:v>0.44444612027049912</c:v>
                </c:pt>
                <c:pt idx="411">
                  <c:v>0.44444606999567127</c:v>
                </c:pt>
                <c:pt idx="412">
                  <c:v>0.44444602122909088</c:v>
                </c:pt>
                <c:pt idx="413">
                  <c:v>0.4444459739255105</c:v>
                </c:pt>
                <c:pt idx="414">
                  <c:v>0.44444592804103994</c:v>
                </c:pt>
                <c:pt idx="415">
                  <c:v>0.44444588353310577</c:v>
                </c:pt>
                <c:pt idx="416">
                  <c:v>0.44444584036041179</c:v>
                </c:pt>
                <c:pt idx="417">
                  <c:v>0.44444579848290061</c:v>
                </c:pt>
                <c:pt idx="418">
                  <c:v>0.44444575786171658</c:v>
                </c:pt>
                <c:pt idx="419">
                  <c:v>0.44444571845916991</c:v>
                </c:pt>
                <c:pt idx="420">
                  <c:v>0.44444568023870129</c:v>
                </c:pt>
                <c:pt idx="421">
                  <c:v>0.4444456431648483</c:v>
                </c:pt>
                <c:pt idx="422">
                  <c:v>0.44444560720321236</c:v>
                </c:pt>
                <c:pt idx="423">
                  <c:v>0.44444557232042692</c:v>
                </c:pt>
                <c:pt idx="424">
                  <c:v>0.44444553848412632</c:v>
                </c:pt>
                <c:pt idx="425">
                  <c:v>0.44444550566291602</c:v>
                </c:pt>
                <c:pt idx="426">
                  <c:v>0.44444547382634314</c:v>
                </c:pt>
                <c:pt idx="427">
                  <c:v>0.44444544294486854</c:v>
                </c:pt>
                <c:pt idx="428">
                  <c:v>0.44444541298983919</c:v>
                </c:pt>
                <c:pt idx="429">
                  <c:v>0.44444538393346172</c:v>
                </c:pt>
                <c:pt idx="430">
                  <c:v>0.44444535574877642</c:v>
                </c:pt>
                <c:pt idx="431">
                  <c:v>0.44444532840963258</c:v>
                </c:pt>
                <c:pt idx="432">
                  <c:v>0.44444530189066384</c:v>
                </c:pt>
                <c:pt idx="433">
                  <c:v>0.44444527616726492</c:v>
                </c:pt>
                <c:pt idx="434">
                  <c:v>0.44444525121556872</c:v>
                </c:pt>
                <c:pt idx="435">
                  <c:v>0.444445227012424</c:v>
                </c:pt>
                <c:pt idx="436">
                  <c:v>0.44444520353537431</c:v>
                </c:pt>
                <c:pt idx="437">
                  <c:v>0.44444518076263673</c:v>
                </c:pt>
                <c:pt idx="438">
                  <c:v>0.44444515867308182</c:v>
                </c:pt>
                <c:pt idx="439">
                  <c:v>0.44444513724621404</c:v>
                </c:pt>
                <c:pt idx="440">
                  <c:v>0.44444511646215279</c:v>
                </c:pt>
                <c:pt idx="441">
                  <c:v>0.44444509630161383</c:v>
                </c:pt>
                <c:pt idx="442">
                  <c:v>0.44444507674589151</c:v>
                </c:pt>
                <c:pt idx="443">
                  <c:v>0.44444505777684129</c:v>
                </c:pt>
                <c:pt idx="444">
                  <c:v>0.44444503937686292</c:v>
                </c:pt>
                <c:pt idx="445">
                  <c:v>0.44444502152888427</c:v>
                </c:pt>
                <c:pt idx="446">
                  <c:v>0.44444500421634531</c:v>
                </c:pt>
                <c:pt idx="447">
                  <c:v>0.44444498742318284</c:v>
                </c:pt>
                <c:pt idx="448">
                  <c:v>0.44444497113381554</c:v>
                </c:pt>
                <c:pt idx="449">
                  <c:v>0.44444495533312955</c:v>
                </c:pt>
                <c:pt idx="450">
                  <c:v>0.4444449400064644</c:v>
                </c:pt>
                <c:pt idx="451">
                  <c:v>0.44444492513959943</c:v>
                </c:pt>
                <c:pt idx="452">
                  <c:v>0.44444491071874065</c:v>
                </c:pt>
                <c:pt idx="453">
                  <c:v>0.44444489673050791</c:v>
                </c:pt>
                <c:pt idx="454">
                  <c:v>0.44444488316192238</c:v>
                </c:pt>
                <c:pt idx="455">
                  <c:v>0.44444487000039462</c:v>
                </c:pt>
                <c:pt idx="456">
                  <c:v>0.44444485723371285</c:v>
                </c:pt>
                <c:pt idx="457">
                  <c:v>0.44444484485003172</c:v>
                </c:pt>
                <c:pt idx="458">
                  <c:v>0.44444483283786118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65-4146-902A-7D17D40DD096}"/>
            </c:ext>
          </c:extLst>
        </c:ser>
        <c:ser>
          <c:idx val="1"/>
          <c:order val="1"/>
          <c:tx>
            <c:strRef>
              <c:f>'DTMC - with Repair'!$H$1</c:f>
              <c:strCache>
                <c:ptCount val="1"/>
                <c:pt idx="0">
                  <c:v>Pr(S1)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'DTMC - with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with Repair'!$H$2:$H$460</c:f>
              <c:numCache>
                <c:formatCode>0.00%</c:formatCode>
                <c:ptCount val="459"/>
                <c:pt idx="0">
                  <c:v>0</c:v>
                </c:pt>
                <c:pt idx="1">
                  <c:v>1.9800000000000002E-2</c:v>
                </c:pt>
                <c:pt idx="2">
                  <c:v>3.8623819999999996E-2</c:v>
                </c:pt>
                <c:pt idx="3">
                  <c:v>5.6523332237999997E-2</c:v>
                </c:pt>
                <c:pt idx="4">
                  <c:v>7.35475179027342E-2</c:v>
                </c:pt>
                <c:pt idx="5">
                  <c:v>8.9742632756682608E-2</c:v>
                </c:pt>
                <c:pt idx="6">
                  <c:v>0.10515236312790266</c:v>
                </c:pt>
                <c:pt idx="7">
                  <c:v>0.1198179728351694</c:v>
                </c:pt>
                <c:pt idx="8">
                  <c:v>0.13377844157769292</c:v>
                </c:pt>
                <c:pt idx="9">
                  <c:v>0.14707059528942082</c:v>
                </c:pt>
                <c:pt idx="10">
                  <c:v>0.15972922892851651</c:v>
                </c:pt>
                <c:pt idx="11">
                  <c:v>0.17178722214492065</c:v>
                </c:pt>
                <c:pt idx="12">
                  <c:v>0.18327564824285289</c:v>
                </c:pt>
                <c:pt idx="13">
                  <c:v>0.19422387683059644</c:v>
                </c:pt>
                <c:pt idx="14">
                  <c:v>0.20465967052683745</c:v>
                </c:pt>
                <c:pt idx="15">
                  <c:v>0.21460927607112273</c:v>
                </c:pt>
                <c:pt idx="16">
                  <c:v>0.22409751016556811</c:v>
                </c:pt>
                <c:pt idx="17">
                  <c:v>0.23314784035572433</c:v>
                </c:pt>
                <c:pt idx="18">
                  <c:v>0.24178246124041408</c:v>
                </c:pt>
                <c:pt idx="19">
                  <c:v>0.2500223662833273</c:v>
                </c:pt>
                <c:pt idx="20">
                  <c:v>0.25788741548313771</c:v>
                </c:pt>
                <c:pt idx="21">
                  <c:v>0.26539639914382457</c:v>
                </c:pt>
                <c:pt idx="22">
                  <c:v>0.27256709797269268</c:v>
                </c:pt>
                <c:pt idx="23">
                  <c:v>0.27941633972022667</c:v>
                </c:pt>
                <c:pt idx="24">
                  <c:v>0.28596005256334972</c:v>
                </c:pt>
                <c:pt idx="25">
                  <c:v>0.29221331542182655</c:v>
                </c:pt>
                <c:pt idx="26">
                  <c:v>0.29819040538641828</c:v>
                </c:pt>
                <c:pt idx="27">
                  <c:v>0.30390484242692201</c:v>
                </c:pt>
                <c:pt idx="28">
                  <c:v>0.30936943153836677</c:v>
                </c:pt>
                <c:pt idx="29">
                  <c:v>0.31459630247435882</c:v>
                </c:pt>
                <c:pt idx="30">
                  <c:v>0.31959694720783649</c:v>
                </c:pt>
                <c:pt idx="31">
                  <c:v>0.32438225525127423</c:v>
                </c:pt>
                <c:pt idx="32">
                  <c:v>0.32896254696064214</c:v>
                </c:pt>
                <c:pt idx="33">
                  <c:v>0.33334760494014493</c:v>
                </c:pt>
                <c:pt idx="34">
                  <c:v>0.33754670365791278</c:v>
                </c:pt>
                <c:pt idx="35">
                  <c:v>0.34156863737636861</c:v>
                </c:pt>
                <c:pt idx="36">
                  <c:v>0.34542174649492458</c:v>
                </c:pt>
                <c:pt idx="37">
                  <c:v>0.34911394239694887</c:v>
                </c:pt>
                <c:pt idx="38">
                  <c:v>0.35265273088756727</c:v>
                </c:pt>
                <c:pt idx="39">
                  <c:v>0.35604523430380186</c:v>
                </c:pt>
                <c:pt idx="40">
                  <c:v>0.35929821237378623</c:v>
                </c:pt>
                <c:pt idx="41">
                  <c:v>0.36241808189731439</c:v>
                </c:pt>
                <c:pt idx="42">
                  <c:v>0.36541093531575747</c:v>
                </c:pt>
                <c:pt idx="43">
                  <c:v>0.36828255823541334</c:v>
                </c:pt>
                <c:pt idx="44">
                  <c:v>0.371038445964613</c:v>
                </c:pt>
                <c:pt idx="45">
                  <c:v>0.37368381912138954</c:v>
                </c:pt>
                <c:pt idx="46">
                  <c:v>0.37622363836520206</c:v>
                </c:pt>
                <c:pt idx="47">
                  <c:v>0.37866261830308867</c:v>
                </c:pt>
                <c:pt idx="48">
                  <c:v>0.38100524061768809</c:v>
                </c:pt>
                <c:pt idx="49">
                  <c:v>0.38325576646180531</c:v>
                </c:pt>
                <c:pt idx="50">
                  <c:v>0.38541824816159648</c:v>
                </c:pt>
                <c:pt idx="51">
                  <c:v>0.38749654026799951</c:v>
                </c:pt>
                <c:pt idx="52">
                  <c:v>0.38949430999373152</c:v>
                </c:pt>
                <c:pt idx="53">
                  <c:v>0.39141504707100566</c:v>
                </c:pt>
                <c:pt idx="54">
                  <c:v>0.3932620730630757</c:v>
                </c:pt>
                <c:pt idx="55">
                  <c:v>0.39503855016079548</c:v>
                </c:pt>
                <c:pt idx="56">
                  <c:v>0.39674748949356758</c:v>
                </c:pt>
                <c:pt idx="57">
                  <c:v>0.39839175898235463</c:v>
                </c:pt>
                <c:pt idx="58">
                  <c:v>0.39997409076081858</c:v>
                </c:pt>
                <c:pt idx="59">
                  <c:v>0.4014970881891457</c:v>
                </c:pt>
                <c:pt idx="60">
                  <c:v>0.40296323248368993</c:v>
                </c:pt>
                <c:pt idx="61">
                  <c:v>0.40437488898423091</c:v>
                </c:pt>
                <c:pt idx="62">
                  <c:v>0.40573431307938013</c:v>
                </c:pt>
                <c:pt idx="63">
                  <c:v>0.40704365580948249</c:v>
                </c:pt>
                <c:pt idx="64">
                  <c:v>0.408304969165243</c:v>
                </c:pt>
                <c:pt idx="65">
                  <c:v>0.40952021109925502</c:v>
                </c:pt>
                <c:pt idx="66">
                  <c:v>0.41069125026661657</c:v>
                </c:pt>
                <c:pt idx="67">
                  <c:v>0.41181987050988728</c:v>
                </c:pt>
                <c:pt idx="68">
                  <c:v>0.41290777510275989</c:v>
                </c:pt>
                <c:pt idx="69">
                  <c:v>0.41395659076599345</c:v>
                </c:pt>
                <c:pt idx="70">
                  <c:v>0.41496787146837572</c:v>
                </c:pt>
                <c:pt idx="71">
                  <c:v>0.4159431020247476</c:v>
                </c:pt>
                <c:pt idx="72">
                  <c:v>0.41688370150243331</c:v>
                </c:pt>
                <c:pt idx="73">
                  <c:v>0.41779102644676741</c:v>
                </c:pt>
                <c:pt idx="74">
                  <c:v>0.41866637393579748</c:v>
                </c:pt>
                <c:pt idx="75">
                  <c:v>0.41951098447366481</c:v>
                </c:pt>
                <c:pt idx="76">
                  <c:v>0.42032604473162</c:v>
                </c:pt>
                <c:pt idx="77">
                  <c:v>0.42111269014511959</c:v>
                </c:pt>
                <c:pt idx="78">
                  <c:v>0.42187200737496716</c:v>
                </c:pt>
                <c:pt idx="79">
                  <c:v>0.42260503664000804</c:v>
                </c:pt>
                <c:pt idx="80">
                  <c:v>0.42331277392845795</c:v>
                </c:pt>
                <c:pt idx="81">
                  <c:v>0.42399617309454418</c:v>
                </c:pt>
                <c:pt idx="82">
                  <c:v>0.42465614784675704</c:v>
                </c:pt>
                <c:pt idx="83">
                  <c:v>0.42529357363365106</c:v>
                </c:pt>
                <c:pt idx="84">
                  <c:v>0.42590928943280049</c:v>
                </c:pt>
                <c:pt idx="85">
                  <c:v>0.42650409944819329</c:v>
                </c:pt>
                <c:pt idx="86">
                  <c:v>0.42707877472105021</c:v>
                </c:pt>
                <c:pt idx="87">
                  <c:v>0.42763405465877397</c:v>
                </c:pt>
                <c:pt idx="88">
                  <c:v>0.42817064848646608</c:v>
                </c:pt>
                <c:pt idx="89">
                  <c:v>0.42868923662520081</c:v>
                </c:pt>
                <c:pt idx="90">
                  <c:v>0.42919047200100779</c:v>
                </c:pt>
                <c:pt idx="91">
                  <c:v>0.42967498128829384</c:v>
                </c:pt>
                <c:pt idx="92">
                  <c:v>0.43014336609122494</c:v>
                </c:pt>
                <c:pt idx="93">
                  <c:v>0.43059620406639076</c:v>
                </c:pt>
                <c:pt idx="94">
                  <c:v>0.43103404998988953</c:v>
                </c:pt>
                <c:pt idx="95">
                  <c:v>0.43145743677179488</c:v>
                </c:pt>
                <c:pt idx="96">
                  <c:v>0.43186687642080035</c:v>
                </c:pt>
                <c:pt idx="97">
                  <c:v>0.43226286096168304</c:v>
                </c:pt>
                <c:pt idx="98">
                  <c:v>0.43264586330807903</c:v>
                </c:pt>
                <c:pt idx="99">
                  <c:v>0.43301633809292606</c:v>
                </c:pt>
                <c:pt idx="100">
                  <c:v>0.43337472245879799</c:v>
                </c:pt>
                <c:pt idx="101">
                  <c:v>0.43372143681023195</c:v>
                </c:pt>
                <c:pt idx="102">
                  <c:v>0.43405688553003363</c:v>
                </c:pt>
                <c:pt idx="103">
                  <c:v>0.43438145766143654</c:v>
                </c:pt>
                <c:pt idx="104">
                  <c:v>0.43469552755788665</c:v>
                </c:pt>
                <c:pt idx="105">
                  <c:v>0.43499945550212932</c:v>
                </c:pt>
                <c:pt idx="106">
                  <c:v>0.43529358829617987</c:v>
                </c:pt>
                <c:pt idx="107">
                  <c:v>0.43557825982367515</c:v>
                </c:pt>
                <c:pt idx="108">
                  <c:v>0.4358537915860215</c:v>
                </c:pt>
                <c:pt idx="109">
                  <c:v>0.43612049321367541</c:v>
                </c:pt>
                <c:pt idx="110">
                  <c:v>0.43637866295382333</c:v>
                </c:pt>
                <c:pt idx="111">
                  <c:v>0.43662858813565625</c:v>
                </c:pt>
                <c:pt idx="112">
                  <c:v>0.43687054561437072</c:v>
                </c:pt>
                <c:pt idx="113">
                  <c:v>0.43710480219496717</c:v>
                </c:pt>
                <c:pt idx="114">
                  <c:v>0.43733161503685825</c:v>
                </c:pt>
                <c:pt idx="115">
                  <c:v>0.4375512320402451</c:v>
                </c:pt>
                <c:pt idx="116">
                  <c:v>0.43776389221516987</c:v>
                </c:pt>
                <c:pt idx="117">
                  <c:v>0.43796982603410145</c:v>
                </c:pt>
                <c:pt idx="118">
                  <c:v>0.43816925576886873</c:v>
                </c:pt>
                <c:pt idx="119">
                  <c:v>0.4383623958127098</c:v>
                </c:pt>
                <c:pt idx="120">
                  <c:v>0.43854945298816639</c:v>
                </c:pt>
                <c:pt idx="121">
                  <c:v>0.43873062684151382</c:v>
                </c:pt>
                <c:pt idx="122">
                  <c:v>0.43890610992438001</c:v>
                </c:pt>
                <c:pt idx="123">
                  <c:v>0.43907608806317283</c:v>
                </c:pt>
                <c:pt idx="124">
                  <c:v>0.43924074061690327</c:v>
                </c:pt>
                <c:pt idx="125">
                  <c:v>0.43940024072396033</c:v>
                </c:pt>
                <c:pt idx="126">
                  <c:v>0.43955475553836482</c:v>
                </c:pt>
                <c:pt idx="127">
                  <c:v>0.43970444645600226</c:v>
                </c:pt>
                <c:pt idx="128">
                  <c:v>0.4398494693313087</c:v>
                </c:pt>
                <c:pt idx="129">
                  <c:v>0.43998997468485884</c:v>
                </c:pt>
                <c:pt idx="130">
                  <c:v>0.44012610790228324</c:v>
                </c:pt>
                <c:pt idx="131">
                  <c:v>0.44025800942491888</c:v>
                </c:pt>
                <c:pt idx="132">
                  <c:v>0.44038581493257689</c:v>
                </c:pt>
                <c:pt idx="133">
                  <c:v>0.44050965551879218</c:v>
                </c:pt>
                <c:pt idx="134">
                  <c:v>0.44062965785890024</c:v>
                </c:pt>
                <c:pt idx="135">
                  <c:v>0.44074594437126985</c:v>
                </c:pt>
                <c:pt idx="136">
                  <c:v>0.44085863337200348</c:v>
                </c:pt>
                <c:pt idx="137">
                  <c:v>0.44096783922340149</c:v>
                </c:pt>
                <c:pt idx="138">
                  <c:v>0.44107367247647139</c:v>
                </c:pt>
                <c:pt idx="139">
                  <c:v>0.44117624000774963</c:v>
                </c:pt>
                <c:pt idx="140">
                  <c:v>0.44127564515069023</c:v>
                </c:pt>
                <c:pt idx="141">
                  <c:v>0.44137198782186104</c:v>
                </c:pt>
                <c:pt idx="142">
                  <c:v>0.44146536464217839</c:v>
                </c:pt>
                <c:pt idx="143">
                  <c:v>0.44155586905339728</c:v>
                </c:pt>
                <c:pt idx="144">
                  <c:v>0.44164359143006598</c:v>
                </c:pt>
                <c:pt idx="145">
                  <c:v>0.44172861918714179</c:v>
                </c:pt>
                <c:pt idx="146">
                  <c:v>0.44181103688345663</c:v>
                </c:pt>
                <c:pt idx="147">
                  <c:v>0.44189092632121107</c:v>
                </c:pt>
                <c:pt idx="148">
                  <c:v>0.44196836664166722</c:v>
                </c:pt>
                <c:pt idx="149">
                  <c:v>0.44204343441720312</c:v>
                </c:pt>
                <c:pt idx="150">
                  <c:v>0.44211620373988308</c:v>
                </c:pt>
                <c:pt idx="151">
                  <c:v>0.44218674630669058</c:v>
                </c:pt>
                <c:pt idx="152">
                  <c:v>0.4422551315015647</c:v>
                </c:pt>
                <c:pt idx="153">
                  <c:v>0.44232142647437378</c:v>
                </c:pt>
                <c:pt idx="154">
                  <c:v>0.44238569621695328</c:v>
                </c:pt>
                <c:pt idx="155">
                  <c:v>0.44244800363632991</c:v>
                </c:pt>
                <c:pt idx="156">
                  <c:v>0.4425084096252474</c:v>
                </c:pt>
                <c:pt idx="157">
                  <c:v>0.44256697313010512</c:v>
                </c:pt>
                <c:pt idx="158">
                  <c:v>0.44262375121641445</c:v>
                </c:pt>
                <c:pt idx="159">
                  <c:v>0.44267879913187391</c:v>
                </c:pt>
                <c:pt idx="160">
                  <c:v>0.44273217036715928</c:v>
                </c:pt>
                <c:pt idx="161">
                  <c:v>0.44278391671451989</c:v>
                </c:pt>
                <c:pt idx="162">
                  <c:v>0.44283408832426968</c:v>
                </c:pt>
                <c:pt idx="163">
                  <c:v>0.44288273375925591</c:v>
                </c:pt>
                <c:pt idx="164">
                  <c:v>0.44292990004738592</c:v>
                </c:pt>
                <c:pt idx="165">
                  <c:v>0.4429756327322884</c:v>
                </c:pt>
                <c:pt idx="166">
                  <c:v>0.44301997592218206</c:v>
                </c:pt>
                <c:pt idx="167">
                  <c:v>0.44306297233702185</c:v>
                </c:pt>
                <c:pt idx="168">
                  <c:v>0.44310466335398935</c:v>
                </c:pt>
                <c:pt idx="169">
                  <c:v>0.44314508905139149</c:v>
                </c:pt>
                <c:pt idx="170">
                  <c:v>0.44318428825102846</c:v>
                </c:pt>
                <c:pt idx="171">
                  <c:v>0.44322229855908962</c:v>
                </c:pt>
                <c:pt idx="172">
                  <c:v>0.44325915640563346</c:v>
                </c:pt>
                <c:pt idx="173">
                  <c:v>0.44329489708270498</c:v>
                </c:pt>
                <c:pt idx="174">
                  <c:v>0.44332955478114222</c:v>
                </c:pt>
                <c:pt idx="175">
                  <c:v>0.44336316262612108</c:v>
                </c:pt>
                <c:pt idx="176">
                  <c:v>0.44339575271148535</c:v>
                </c:pt>
                <c:pt idx="177">
                  <c:v>0.44342735613290751</c:v>
                </c:pt>
                <c:pt idx="178">
                  <c:v>0.44345800301992355</c:v>
                </c:pt>
                <c:pt idx="179">
                  <c:v>0.44348772256688274</c:v>
                </c:pt>
                <c:pt idx="180">
                  <c:v>0.44351654306285354</c:v>
                </c:pt>
                <c:pt idx="181">
                  <c:v>0.44354449192052225</c:v>
                </c:pt>
                <c:pt idx="182">
                  <c:v>0.44357159570412225</c:v>
                </c:pt>
                <c:pt idx="183">
                  <c:v>0.44359788015642837</c:v>
                </c:pt>
                <c:pt idx="184">
                  <c:v>0.4436233702248506</c:v>
                </c:pt>
                <c:pt idx="185">
                  <c:v>0.44364809008665906</c:v>
                </c:pt>
                <c:pt idx="186">
                  <c:v>0.44367206317337177</c:v>
                </c:pt>
                <c:pt idx="187">
                  <c:v>0.44369531219433472</c:v>
                </c:pt>
                <c:pt idx="188">
                  <c:v>0.44371785915952344</c:v>
                </c:pt>
                <c:pt idx="189">
                  <c:v>0.44373972540159329</c:v>
                </c:pt>
                <c:pt idx="190">
                  <c:v>0.44376093159720487</c:v>
                </c:pt>
                <c:pt idx="191">
                  <c:v>0.44378149778765041</c:v>
                </c:pt>
                <c:pt idx="192">
                  <c:v>0.44380144339880545</c:v>
                </c:pt>
                <c:pt idx="193">
                  <c:v>0.44382078726042901</c:v>
                </c:pt>
                <c:pt idx="194">
                  <c:v>0.4438395476248358</c:v>
                </c:pt>
                <c:pt idx="195">
                  <c:v>0.44385774218496121</c:v>
                </c:pt>
                <c:pt idx="196">
                  <c:v>0.44387538809184063</c:v>
                </c:pt>
                <c:pt idx="197">
                  <c:v>0.44389250197152319</c:v>
                </c:pt>
                <c:pt idx="198">
                  <c:v>0.44390909994143918</c:v>
                </c:pt>
                <c:pt idx="199">
                  <c:v>0.44392519762624005</c:v>
                </c:pt>
                <c:pt idx="200">
                  <c:v>0.44394081017312903</c:v>
                </c:pt>
                <c:pt idx="201">
                  <c:v>0.44395595226669887</c:v>
                </c:pt>
                <c:pt idx="202">
                  <c:v>0.44397063814329468</c:v>
                </c:pt>
                <c:pt idx="203">
                  <c:v>0.44398488160491689</c:v>
                </c:pt>
                <c:pt idx="204">
                  <c:v>0.4439986960326805</c:v>
                </c:pt>
                <c:pt idx="205">
                  <c:v>0.4440120943998449</c:v>
                </c:pt>
                <c:pt idx="206">
                  <c:v>0.44402508928442896</c:v>
                </c:pt>
                <c:pt idx="207">
                  <c:v>0.44403769288142569</c:v>
                </c:pt>
                <c:pt idx="208">
                  <c:v>0.44404991701462865</c:v>
                </c:pt>
                <c:pt idx="209">
                  <c:v>0.44406177314808448</c:v>
                </c:pt>
                <c:pt idx="210">
                  <c:v>0.44407327239718247</c:v>
                </c:pt>
                <c:pt idx="211">
                  <c:v>0.44408442553939426</c:v>
                </c:pt>
                <c:pt idx="212">
                  <c:v>0.44409524302467474</c:v>
                </c:pt>
                <c:pt idx="213">
                  <c:v>0.44410573498553541</c:v>
                </c:pt>
                <c:pt idx="214">
                  <c:v>0.44411591124680061</c:v>
                </c:pt>
                <c:pt idx="215">
                  <c:v>0.4441257813350577</c:v>
                </c:pt>
                <c:pt idx="216">
                  <c:v>0.44413535448781055</c:v>
                </c:pt>
                <c:pt idx="217">
                  <c:v>0.44414463966234602</c:v>
                </c:pt>
                <c:pt idx="218">
                  <c:v>0.44415364554432346</c:v>
                </c:pt>
                <c:pt idx="219">
                  <c:v>0.44416238055609536</c:v>
                </c:pt>
                <c:pt idx="220">
                  <c:v>0.44417085286476832</c:v>
                </c:pt>
                <c:pt idx="221">
                  <c:v>0.44417907039001253</c:v>
                </c:pt>
                <c:pt idx="222">
                  <c:v>0.44418704081162824</c:v>
                </c:pt>
                <c:pt idx="223">
                  <c:v>0.44419477157687648</c:v>
                </c:pt>
                <c:pt idx="224">
                  <c:v>0.4442022699075821</c:v>
                </c:pt>
                <c:pt idx="225">
                  <c:v>0.44420954280701602</c:v>
                </c:pt>
                <c:pt idx="226">
                  <c:v>0.44421659706656424</c:v>
                </c:pt>
                <c:pt idx="227">
                  <c:v>0.44422343927218982</c:v>
                </c:pt>
                <c:pt idx="228">
                  <c:v>0.44423007581069512</c:v>
                </c:pt>
                <c:pt idx="229">
                  <c:v>0.44423651287579002</c:v>
                </c:pt>
                <c:pt idx="230">
                  <c:v>0.44424275647397266</c:v>
                </c:pt>
                <c:pt idx="231">
                  <c:v>0.44424881243022846</c:v>
                </c:pt>
                <c:pt idx="232">
                  <c:v>0.44425468639355342</c:v>
                </c:pt>
                <c:pt idx="233">
                  <c:v>0.44426038384230732</c:v>
                </c:pt>
                <c:pt idx="234">
                  <c:v>0.44426591008940153</c:v>
                </c:pt>
                <c:pt idx="235">
                  <c:v>0.44427127028732721</c:v>
                </c:pt>
                <c:pt idx="236">
                  <c:v>0.44427646943302918</c:v>
                </c:pt>
                <c:pt idx="237">
                  <c:v>0.44428151237262964</c:v>
                </c:pt>
                <c:pt idx="238">
                  <c:v>0.44428640380600692</c:v>
                </c:pt>
                <c:pt idx="239">
                  <c:v>0.44429114829123367</c:v>
                </c:pt>
                <c:pt idx="240">
                  <c:v>0.44429575024887863</c:v>
                </c:pt>
                <c:pt idx="241">
                  <c:v>0.44430021396617703</c:v>
                </c:pt>
                <c:pt idx="242">
                  <c:v>0.44430454360107291</c:v>
                </c:pt>
                <c:pt idx="243">
                  <c:v>0.4443087431861375</c:v>
                </c:pt>
                <c:pt idx="244">
                  <c:v>0.4443128166323681</c:v>
                </c:pt>
                <c:pt idx="245">
                  <c:v>0.44431676773287054</c:v>
                </c:pt>
                <c:pt idx="246">
                  <c:v>0.44432060016642905</c:v>
                </c:pt>
                <c:pt idx="247">
                  <c:v>0.44432431750096707</c:v>
                </c:pt>
                <c:pt idx="248">
                  <c:v>0.44432792319690262</c:v>
                </c:pt>
                <c:pt idx="249">
                  <c:v>0.4443314206104011</c:v>
                </c:pt>
                <c:pt idx="250">
                  <c:v>0.44433481299652883</c:v>
                </c:pt>
                <c:pt idx="251">
                  <c:v>0.44433810351231023</c:v>
                </c:pt>
                <c:pt idx="252">
                  <c:v>0.44434129521969268</c:v>
                </c:pt>
                <c:pt idx="253">
                  <c:v>0.44434439108842</c:v>
                </c:pt>
                <c:pt idx="254">
                  <c:v>0.44434739399881923</c:v>
                </c:pt>
                <c:pt idx="255">
                  <c:v>0.44435030674450204</c:v>
                </c:pt>
                <c:pt idx="256">
                  <c:v>0.44435313203498461</c:v>
                </c:pt>
                <c:pt idx="257">
                  <c:v>0.44435587249822722</c:v>
                </c:pt>
                <c:pt idx="258">
                  <c:v>0.44435853068309689</c:v>
                </c:pt>
                <c:pt idx="259">
                  <c:v>0.44436110906175524</c:v>
                </c:pt>
                <c:pt idx="260">
                  <c:v>0.44436361003197405</c:v>
                </c:pt>
                <c:pt idx="261">
                  <c:v>0.44436603591937984</c:v>
                </c:pt>
                <c:pt idx="262">
                  <c:v>0.44436838897963105</c:v>
                </c:pt>
                <c:pt idx="263">
                  <c:v>0.44437067140052877</c:v>
                </c:pt>
                <c:pt idx="264">
                  <c:v>0.44437288530406366</c:v>
                </c:pt>
                <c:pt idx="265">
                  <c:v>0.44437503274840046</c:v>
                </c:pt>
                <c:pt idx="266">
                  <c:v>0.44437711572980271</c:v>
                </c:pt>
                <c:pt idx="267">
                  <c:v>0.44437913618449909</c:v>
                </c:pt>
                <c:pt idx="268">
                  <c:v>0.44438109599049302</c:v>
                </c:pt>
                <c:pt idx="269">
                  <c:v>0.44438299696931782</c:v>
                </c:pt>
                <c:pt idx="270">
                  <c:v>0.44438484088773816</c:v>
                </c:pt>
                <c:pt idx="271">
                  <c:v>0.44438662945940066</c:v>
                </c:pt>
                <c:pt idx="272">
                  <c:v>0.44438836434643403</c:v>
                </c:pt>
                <c:pt idx="273">
                  <c:v>0.44439004716100122</c:v>
                </c:pt>
                <c:pt idx="274">
                  <c:v>0.44439167946680425</c:v>
                </c:pt>
                <c:pt idx="275">
                  <c:v>0.44439326278054375</c:v>
                </c:pt>
                <c:pt idx="276">
                  <c:v>0.44439479857333442</c:v>
                </c:pt>
                <c:pt idx="277">
                  <c:v>0.4443962882720775</c:v>
                </c:pt>
                <c:pt idx="278">
                  <c:v>0.44439773326079202</c:v>
                </c:pt>
                <c:pt idx="279">
                  <c:v>0.44439913488190563</c:v>
                </c:pt>
                <c:pt idx="280">
                  <c:v>0.44440049443750668</c:v>
                </c:pt>
                <c:pt idx="281">
                  <c:v>0.44440181319055799</c:v>
                </c:pt>
                <c:pt idx="282">
                  <c:v>0.44440309236607473</c:v>
                </c:pt>
                <c:pt idx="283">
                  <c:v>0.44440433315226607</c:v>
                </c:pt>
                <c:pt idx="284">
                  <c:v>0.44440553670164273</c:v>
                </c:pt>
                <c:pt idx="285">
                  <c:v>0.44440670413209094</c:v>
                </c:pt>
                <c:pt idx="286">
                  <c:v>0.44440783652791421</c:v>
                </c:pt>
                <c:pt idx="287">
                  <c:v>0.44440893494084344</c:v>
                </c:pt>
                <c:pt idx="288">
                  <c:v>0.44441000039101664</c:v>
                </c:pt>
                <c:pt idx="289">
                  <c:v>0.44441103386792924</c:v>
                </c:pt>
                <c:pt idx="290">
                  <c:v>0.44441203633135562</c:v>
                </c:pt>
                <c:pt idx="291">
                  <c:v>0.44441300871224293</c:v>
                </c:pt>
                <c:pt idx="292">
                  <c:v>0.44441395191357769</c:v>
                </c:pt>
                <c:pt idx="293">
                  <c:v>0.44441486681122666</c:v>
                </c:pt>
                <c:pt idx="294">
                  <c:v>0.44441575425475238</c:v>
                </c:pt>
                <c:pt idx="295">
                  <c:v>0.44441661506820362</c:v>
                </c:pt>
                <c:pt idx="296">
                  <c:v>0.44441745005088262</c:v>
                </c:pt>
                <c:pt idx="297">
                  <c:v>0.44441825997808898</c:v>
                </c:pt>
                <c:pt idx="298">
                  <c:v>0.44441904560184103</c:v>
                </c:pt>
                <c:pt idx="299">
                  <c:v>0.44441980765157563</c:v>
                </c:pt>
                <c:pt idx="300">
                  <c:v>0.44442054683482679</c:v>
                </c:pt>
                <c:pt idx="301">
                  <c:v>0.444421263837884</c:v>
                </c:pt>
                <c:pt idx="302">
                  <c:v>0.44442195932643064</c:v>
                </c:pt>
                <c:pt idx="303">
                  <c:v>0.44442263394616321</c:v>
                </c:pt>
                <c:pt idx="304">
                  <c:v>0.44442328832339184</c:v>
                </c:pt>
                <c:pt idx="305">
                  <c:v>0.44442392306562284</c:v>
                </c:pt>
                <c:pt idx="306">
                  <c:v>0.44442453876212362</c:v>
                </c:pt>
                <c:pt idx="307">
                  <c:v>0.44442513598447081</c:v>
                </c:pt>
                <c:pt idx="308">
                  <c:v>0.44442571528708164</c:v>
                </c:pt>
                <c:pt idx="309">
                  <c:v>0.44442627720772943</c:v>
                </c:pt>
                <c:pt idx="310">
                  <c:v>0.44442682226804342</c:v>
                </c:pt>
                <c:pt idx="311">
                  <c:v>0.44442735097399411</c:v>
                </c:pt>
                <c:pt idx="312">
                  <c:v>0.44442786381636334</c:v>
                </c:pt>
                <c:pt idx="313">
                  <c:v>0.44442836127120061</c:v>
                </c:pt>
                <c:pt idx="314">
                  <c:v>0.44442884380026543</c:v>
                </c:pt>
                <c:pt idx="315">
                  <c:v>0.44442931185145673</c:v>
                </c:pt>
                <c:pt idx="316">
                  <c:v>0.444429765859229</c:v>
                </c:pt>
                <c:pt idx="317">
                  <c:v>0.44443020624499613</c:v>
                </c:pt>
                <c:pt idx="318">
                  <c:v>0.44443063341752292</c:v>
                </c:pt>
                <c:pt idx="319">
                  <c:v>0.44443104777330528</c:v>
                </c:pt>
                <c:pt idx="320">
                  <c:v>0.4444314496969381</c:v>
                </c:pt>
                <c:pt idx="321">
                  <c:v>0.44443183956147309</c:v>
                </c:pt>
                <c:pt idx="322">
                  <c:v>0.44443221772876534</c:v>
                </c:pt>
                <c:pt idx="323">
                  <c:v>0.44443258454980944</c:v>
                </c:pt>
                <c:pt idx="324">
                  <c:v>0.44443294036506537</c:v>
                </c:pt>
                <c:pt idx="325">
                  <c:v>0.44443328550477512</c:v>
                </c:pt>
                <c:pt idx="326">
                  <c:v>0.44443362028926953</c:v>
                </c:pt>
                <c:pt idx="327">
                  <c:v>0.44443394502926548</c:v>
                </c:pt>
                <c:pt idx="328">
                  <c:v>0.44443426002615488</c:v>
                </c:pt>
                <c:pt idx="329">
                  <c:v>0.44443456557228456</c:v>
                </c:pt>
                <c:pt idx="330">
                  <c:v>0.44443486195122761</c:v>
                </c:pt>
                <c:pt idx="331">
                  <c:v>0.44443514943804718</c:v>
                </c:pt>
                <c:pt idx="332">
                  <c:v>0.44443542829955163</c:v>
                </c:pt>
                <c:pt idx="333">
                  <c:v>0.44443569879454237</c:v>
                </c:pt>
                <c:pt idx="334">
                  <c:v>0.44443596117405426</c:v>
                </c:pt>
                <c:pt idx="335">
                  <c:v>0.44443621568158898</c:v>
                </c:pt>
                <c:pt idx="336">
                  <c:v>0.44443646255334068</c:v>
                </c:pt>
                <c:pt idx="337">
                  <c:v>0.44443670201841584</c:v>
                </c:pt>
                <c:pt idx="338">
                  <c:v>0.44443693429904574</c:v>
                </c:pt>
                <c:pt idx="339">
                  <c:v>0.44443715961079283</c:v>
                </c:pt>
                <c:pt idx="340">
                  <c:v>0.44443737816275108</c:v>
                </c:pt>
                <c:pt idx="341">
                  <c:v>0.44443759015773987</c:v>
                </c:pt>
                <c:pt idx="342">
                  <c:v>0.4444377957924926</c:v>
                </c:pt>
                <c:pt idx="343">
                  <c:v>0.44443799525783911</c:v>
                </c:pt>
                <c:pt idx="344">
                  <c:v>0.44443818873888313</c:v>
                </c:pt>
                <c:pt idx="345">
                  <c:v>0.44443837641517403</c:v>
                </c:pt>
                <c:pt idx="346">
                  <c:v>0.44443855846087332</c:v>
                </c:pt>
                <c:pt idx="347">
                  <c:v>0.44443873504491677</c:v>
                </c:pt>
                <c:pt idx="348">
                  <c:v>0.44443890633117072</c:v>
                </c:pt>
                <c:pt idx="349">
                  <c:v>0.44443907247858477</c:v>
                </c:pt>
                <c:pt idx="350">
                  <c:v>0.44443923364133908</c:v>
                </c:pt>
                <c:pt idx="351">
                  <c:v>0.44443938996898741</c:v>
                </c:pt>
                <c:pt idx="352">
                  <c:v>0.44443954160659621</c:v>
                </c:pt>
                <c:pt idx="353">
                  <c:v>0.44443968869487904</c:v>
                </c:pt>
                <c:pt idx="354">
                  <c:v>0.44443983137032733</c:v>
                </c:pt>
                <c:pt idx="355">
                  <c:v>0.44443996976533717</c:v>
                </c:pt>
                <c:pt idx="356">
                  <c:v>0.444440104008332</c:v>
                </c:pt>
                <c:pt idx="357">
                  <c:v>0.44444023422388207</c:v>
                </c:pt>
                <c:pt idx="358">
                  <c:v>0.44444036053281977</c:v>
                </c:pt>
                <c:pt idx="359">
                  <c:v>0.44444048305235218</c:v>
                </c:pt>
                <c:pt idx="360">
                  <c:v>0.44444060189616957</c:v>
                </c:pt>
                <c:pt idx="361">
                  <c:v>0.44444071717455103</c:v>
                </c:pt>
                <c:pt idx="362">
                  <c:v>0.44444082899446674</c:v>
                </c:pt>
                <c:pt idx="363">
                  <c:v>0.4444409374596775</c:v>
                </c:pt>
                <c:pt idx="364">
                  <c:v>0.44444104267083073</c:v>
                </c:pt>
                <c:pt idx="365">
                  <c:v>0.44444114472555418</c:v>
                </c:pt>
                <c:pt idx="366">
                  <c:v>0.44444124371854637</c:v>
                </c:pt>
                <c:pt idx="367">
                  <c:v>0.44444133974166461</c:v>
                </c:pt>
                <c:pt idx="368">
                  <c:v>0.44444143288400995</c:v>
                </c:pt>
                <c:pt idx="369">
                  <c:v>0.4444415232320103</c:v>
                </c:pt>
                <c:pt idx="370">
                  <c:v>0.44444161086950051</c:v>
                </c:pt>
                <c:pt idx="371">
                  <c:v>0.44444169587779997</c:v>
                </c:pt>
                <c:pt idx="372">
                  <c:v>0.4444417783357883</c:v>
                </c:pt>
                <c:pt idx="373">
                  <c:v>0.44444185831997851</c:v>
                </c:pt>
                <c:pt idx="374">
                  <c:v>0.44444193590458797</c:v>
                </c:pt>
                <c:pt idx="375">
                  <c:v>0.44444201116160742</c:v>
                </c:pt>
                <c:pt idx="376">
                  <c:v>0.44444208416086761</c:v>
                </c:pt>
                <c:pt idx="377">
                  <c:v>0.44444215497010414</c:v>
                </c:pt>
                <c:pt idx="378">
                  <c:v>0.44444222365502051</c:v>
                </c:pt>
                <c:pt idx="379">
                  <c:v>0.44444229027934873</c:v>
                </c:pt>
                <c:pt idx="380">
                  <c:v>0.44444235490490897</c:v>
                </c:pt>
                <c:pt idx="381">
                  <c:v>0.44444241759166647</c:v>
                </c:pt>
                <c:pt idx="382">
                  <c:v>0.44444247839778744</c:v>
                </c:pt>
                <c:pt idx="383">
                  <c:v>0.44444253737969303</c:v>
                </c:pt>
                <c:pt idx="384">
                  <c:v>0.44444259459211155</c:v>
                </c:pt>
                <c:pt idx="385">
                  <c:v>0.44444265008812933</c:v>
                </c:pt>
                <c:pt idx="386">
                  <c:v>0.44444270391924012</c:v>
                </c:pt>
                <c:pt idx="387">
                  <c:v>0.44444275613539269</c:v>
                </c:pt>
                <c:pt idx="388">
                  <c:v>0.44444280678503723</c:v>
                </c:pt>
                <c:pt idx="389">
                  <c:v>0.44444285591517035</c:v>
                </c:pt>
                <c:pt idx="390">
                  <c:v>0.44444290357137872</c:v>
                </c:pt>
                <c:pt idx="391">
                  <c:v>0.44444294979788129</c:v>
                </c:pt>
                <c:pt idx="392">
                  <c:v>0.44444299463757042</c:v>
                </c:pt>
                <c:pt idx="393">
                  <c:v>0.4444430381320516</c:v>
                </c:pt>
                <c:pt idx="394">
                  <c:v>0.44444308032168206</c:v>
                </c:pt>
                <c:pt idx="395">
                  <c:v>0.44444312124560831</c:v>
                </c:pt>
                <c:pt idx="396">
                  <c:v>0.44444316094180236</c:v>
                </c:pt>
                <c:pt idx="397">
                  <c:v>0.44444319944709704</c:v>
                </c:pt>
                <c:pt idx="398">
                  <c:v>0.44444323679722014</c:v>
                </c:pt>
                <c:pt idx="399">
                  <c:v>0.44444327302682757</c:v>
                </c:pt>
                <c:pt idx="400">
                  <c:v>0.44444330816953553</c:v>
                </c:pt>
                <c:pt idx="401">
                  <c:v>0.44444334225795157</c:v>
                </c:pt>
                <c:pt idx="402">
                  <c:v>0.44444337532370515</c:v>
                </c:pt>
                <c:pt idx="403">
                  <c:v>0.44444340739747673</c:v>
                </c:pt>
                <c:pt idx="404">
                  <c:v>0.44444343850902635</c:v>
                </c:pt>
                <c:pt idx="405">
                  <c:v>0.44444346868722107</c:v>
                </c:pt>
                <c:pt idx="406">
                  <c:v>0.44444349796006216</c:v>
                </c:pt>
                <c:pt idx="407">
                  <c:v>0.44444352635471063</c:v>
                </c:pt>
                <c:pt idx="408">
                  <c:v>0.44444355389751272</c:v>
                </c:pt>
                <c:pt idx="409">
                  <c:v>0.44444358061402423</c:v>
                </c:pt>
                <c:pt idx="410">
                  <c:v>0.44444360652903431</c:v>
                </c:pt>
                <c:pt idx="411">
                  <c:v>0.44444363166658823</c:v>
                </c:pt>
                <c:pt idx="412">
                  <c:v>0.44444365605001013</c:v>
                </c:pt>
                <c:pt idx="413">
                  <c:v>0.44444367970192428</c:v>
                </c:pt>
                <c:pt idx="414">
                  <c:v>0.44444370264427618</c:v>
                </c:pt>
                <c:pt idx="415">
                  <c:v>0.44444372489835299</c:v>
                </c:pt>
                <c:pt idx="416">
                  <c:v>0.44444374648480323</c:v>
                </c:pt>
                <c:pt idx="417">
                  <c:v>0.44444376742365593</c:v>
                </c:pt>
                <c:pt idx="418">
                  <c:v>0.44444378773433935</c:v>
                </c:pt>
                <c:pt idx="419">
                  <c:v>0.44444380743569867</c:v>
                </c:pt>
                <c:pt idx="420">
                  <c:v>0.44444382654601383</c:v>
                </c:pt>
                <c:pt idx="421">
                  <c:v>0.44444384508301649</c:v>
                </c:pt>
                <c:pt idx="422">
                  <c:v>0.44444386306390604</c:v>
                </c:pt>
                <c:pt idx="423">
                  <c:v>0.44444388050536615</c:v>
                </c:pt>
                <c:pt idx="424">
                  <c:v>0.44444389742357981</c:v>
                </c:pt>
                <c:pt idx="425">
                  <c:v>0.44444391383424464</c:v>
                </c:pt>
                <c:pt idx="426">
                  <c:v>0.44444392975258717</c:v>
                </c:pt>
                <c:pt idx="427">
                  <c:v>0.44444394519337727</c:v>
                </c:pt>
                <c:pt idx="428">
                  <c:v>0.44444396017094162</c:v>
                </c:pt>
                <c:pt idx="429">
                  <c:v>0.44444397469917712</c:v>
                </c:pt>
                <c:pt idx="430">
                  <c:v>0.44444398879156377</c:v>
                </c:pt>
                <c:pt idx="431">
                  <c:v>0.4444440024611771</c:v>
                </c:pt>
                <c:pt idx="432">
                  <c:v>0.44444401572070041</c:v>
                </c:pt>
                <c:pt idx="433">
                  <c:v>0.44444402858243648</c:v>
                </c:pt>
                <c:pt idx="434">
                  <c:v>0.44444404105831908</c:v>
                </c:pt>
                <c:pt idx="435">
                  <c:v>0.44444405315992386</c:v>
                </c:pt>
                <c:pt idx="436">
                  <c:v>0.44444406489847921</c:v>
                </c:pt>
                <c:pt idx="437">
                  <c:v>0.4444440762848767</c:v>
                </c:pt>
                <c:pt idx="438">
                  <c:v>0.44444408732968116</c:v>
                </c:pt>
                <c:pt idx="439">
                  <c:v>0.4444440980431405</c:v>
                </c:pt>
                <c:pt idx="440">
                  <c:v>0.44444410843519505</c:v>
                </c:pt>
                <c:pt idx="441">
                  <c:v>0.44444411851548704</c:v>
                </c:pt>
                <c:pt idx="442">
                  <c:v>0.44444412829336938</c:v>
                </c:pt>
                <c:pt idx="443">
                  <c:v>0.44444413777791436</c:v>
                </c:pt>
                <c:pt idx="444">
                  <c:v>0.44444414697792223</c:v>
                </c:pt>
                <c:pt idx="445">
                  <c:v>0.44444415590192915</c:v>
                </c:pt>
                <c:pt idx="446">
                  <c:v>0.44444416455821523</c:v>
                </c:pt>
                <c:pt idx="447">
                  <c:v>0.44444417295481203</c:v>
                </c:pt>
                <c:pt idx="448">
                  <c:v>0.44444418109951034</c:v>
                </c:pt>
                <c:pt idx="449">
                  <c:v>0.4444441889998671</c:v>
                </c:pt>
                <c:pt idx="450">
                  <c:v>0.44444419666321261</c:v>
                </c:pt>
                <c:pt idx="451">
                  <c:v>0.4444442040966573</c:v>
                </c:pt>
                <c:pt idx="452">
                  <c:v>0.4444442113070981</c:v>
                </c:pt>
                <c:pt idx="453">
                  <c:v>0.44444421830122527</c:v>
                </c:pt>
                <c:pt idx="454">
                  <c:v>0.44444422508552817</c:v>
                </c:pt>
                <c:pt idx="455">
                  <c:v>0.44444423166630159</c:v>
                </c:pt>
                <c:pt idx="456">
                  <c:v>0.4444442380496515</c:v>
                </c:pt>
                <c:pt idx="457">
                  <c:v>0.44444424424150053</c:v>
                </c:pt>
                <c:pt idx="458">
                  <c:v>0.44444425024759376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65-4146-902A-7D17D40DD096}"/>
            </c:ext>
          </c:extLst>
        </c:ser>
        <c:ser>
          <c:idx val="2"/>
          <c:order val="2"/>
          <c:tx>
            <c:strRef>
              <c:f>'DTMC - with Repair'!$I$1</c:f>
              <c:strCache>
                <c:ptCount val="1"/>
                <c:pt idx="0">
                  <c:v>Pr(S0)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'DTMC - with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with Repair'!$I$2:$I$460</c:f>
              <c:numCache>
                <c:formatCode>0.00%</c:formatCode>
                <c:ptCount val="459"/>
                <c:pt idx="0">
                  <c:v>0</c:v>
                </c:pt>
                <c:pt idx="1">
                  <c:v>1E-4</c:v>
                </c:pt>
                <c:pt idx="2">
                  <c:v>3.8809000000000001E-4</c:v>
                </c:pt>
                <c:pt idx="3">
                  <c:v>8.4733388099999998E-4</c:v>
                </c:pt>
                <c:pt idx="4">
                  <c:v>1.4619710486328999E-3</c:v>
                </c:pt>
                <c:pt idx="5">
                  <c:v>2.2173417216586953E-3</c:v>
                </c:pt>
                <c:pt idx="6">
                  <c:v>3.0998167930486663E-3</c:v>
                </c:pt>
                <c:pt idx="7">
                  <c:v>4.0967319887052897E-3</c:v>
                </c:pt>
                <c:pt idx="8">
                  <c:v>5.1963260652548322E-3</c:v>
                </c:pt>
                <c:pt idx="9">
                  <c:v>6.3876828037678357E-3</c:v>
                </c:pt>
                <c:pt idx="10">
                  <c:v>7.6606765707656344E-3</c:v>
                </c:pt>
                <c:pt idx="11">
                  <c:v>9.0059212315128472E-3</c:v>
                </c:pt>
                <c:pt idx="12">
                  <c:v>1.0414722213427517E-2</c:v>
                </c:pt>
                <c:pt idx="13">
                  <c:v>1.1879031529510116E-2</c:v>
                </c:pt>
                <c:pt idx="14">
                  <c:v>1.339140558304535E-2</c:v>
                </c:pt>
                <c:pt idx="15">
                  <c:v>1.4944965585508773E-2</c:v>
                </c:pt>
                <c:pt idx="16">
                  <c:v>1.6533360429653962E-2</c:v>
                </c:pt>
                <c:pt idx="17">
                  <c:v>1.8150731869202706E-2</c:v>
                </c:pt>
                <c:pt idx="18">
                  <c:v>1.9791681865445884E-2</c:v>
                </c:pt>
                <c:pt idx="19">
                  <c:v>2.1451241969419697E-2</c:v>
                </c:pt>
                <c:pt idx="20">
                  <c:v>2.3124844616182007E-2</c:v>
                </c:pt>
                <c:pt idx="21">
                  <c:v>2.4808296215106013E-2</c:v>
                </c:pt>
                <c:pt idx="22">
                  <c:v>2.64977519270614E-2</c:v>
                </c:pt>
                <c:pt idx="23">
                  <c:v>2.818969202589218E-2</c:v>
                </c:pt>
                <c:pt idx="24">
                  <c:v>2.9880899747750454E-2</c:v>
                </c:pt>
                <c:pt idx="25">
                  <c:v>3.156844053762925E-2</c:v>
                </c:pt>
                <c:pt idx="26">
                  <c:v>3.3249642607877085E-2</c:v>
                </c:pt>
                <c:pt idx="27">
                  <c:v>3.4922078728592619E-2</c:v>
                </c:pt>
                <c:pt idx="28">
                  <c:v>3.6583549174608633E-2</c:v>
                </c:pt>
                <c:pt idx="29">
                  <c:v>3.8232065758298822E-2</c:v>
                </c:pt>
                <c:pt idx="30">
                  <c:v>3.9865836881695635E-2</c:v>
                </c:pt>
                <c:pt idx="31">
                  <c:v>4.1483253545408327E-2</c:v>
                </c:pt>
                <c:pt idx="32">
                  <c:v>4.308287625559297E-2</c:v>
                </c:pt>
                <c:pt idx="33">
                  <c:v>4.4663422773764158E-2</c:v>
                </c:pt>
                <c:pt idx="34">
                  <c:v>4.6223756657565125E-2</c:v>
                </c:pt>
                <c:pt idx="35">
                  <c:v>4.7762876543741541E-2</c:v>
                </c:pt>
                <c:pt idx="36">
                  <c:v>4.9279906127505775E-2</c:v>
                </c:pt>
                <c:pt idx="37">
                  <c:v>5.0774084795244562E-2</c:v>
                </c:pt>
                <c:pt idx="38">
                  <c:v>5.2244758870123753E-2</c:v>
                </c:pt>
                <c:pt idx="39">
                  <c:v>5.3691373432589243E-2</c:v>
                </c:pt>
                <c:pt idx="40">
                  <c:v>5.511346468006232E-2</c:v>
                </c:pt>
                <c:pt idx="41">
                  <c:v>5.6510652792289569E-2</c:v>
                </c:pt>
                <c:pt idx="42">
                  <c:v>5.7882635270839616E-2</c:v>
                </c:pt>
                <c:pt idx="43">
                  <c:v>5.9229180723150129E-2</c:v>
                </c:pt>
                <c:pt idx="44">
                  <c:v>6.0550123063324572E-2</c:v>
                </c:pt>
                <c:pt idx="45">
                  <c:v>6.1845356103567332E-2</c:v>
                </c:pt>
                <c:pt idx="46">
                  <c:v>6.3114828511733181E-2</c:v>
                </c:pt>
                <c:pt idx="47">
                  <c:v>6.4358539111959823E-2</c:v>
                </c:pt>
                <c:pt idx="48">
                  <c:v>6.5576532506754978E-2</c:v>
                </c:pt>
                <c:pt idx="49">
                  <c:v>6.6768895000228382E-2</c:v>
                </c:pt>
                <c:pt idx="50">
                  <c:v>6.7935750803398823E-2</c:v>
                </c:pt>
                <c:pt idx="51">
                  <c:v>6.9077258503671371E-2</c:v>
                </c:pt>
                <c:pt idx="52">
                  <c:v>7.0193607781675216E-2</c:v>
                </c:pt>
                <c:pt idx="53">
                  <c:v>7.1285016359681902E-2</c:v>
                </c:pt>
                <c:pt idx="54">
                  <c:v>7.235172716679128E-2</c:v>
                </c:pt>
                <c:pt idx="55">
                  <c:v>7.3394005706981499E-2</c:v>
                </c:pt>
                <c:pt idx="56">
                  <c:v>7.4412137616974044E-2</c:v>
                </c:pt>
                <c:pt idx="57">
                  <c:v>7.5406426401667767E-2</c:v>
                </c:pt>
                <c:pt idx="58">
                  <c:v>7.6377191335650393E-2</c:v>
                </c:pt>
                <c:pt idx="59">
                  <c:v>7.7324765520005001E-2</c:v>
                </c:pt>
                <c:pt idx="60">
                  <c:v>7.8249494084295504E-2</c:v>
                </c:pt>
                <c:pt idx="61">
                  <c:v>7.9151732524240764E-2</c:v>
                </c:pt>
                <c:pt idx="62">
                  <c:v>8.0031845166175439E-2</c:v>
                </c:pt>
                <c:pt idx="63">
                  <c:v>8.0890203749948264E-2</c:v>
                </c:pt>
                <c:pt idx="64">
                  <c:v>8.1727186122427284E-2</c:v>
                </c:pt>
                <c:pt idx="65">
                  <c:v>8.2543175034269778E-2</c:v>
                </c:pt>
                <c:pt idx="66">
                  <c:v>8.3338557033072025E-2</c:v>
                </c:pt>
                <c:pt idx="67">
                  <c:v>8.4113721446445244E-2</c:v>
                </c:pt>
                <c:pt idx="68">
                  <c:v>8.4869059448967263E-2</c:v>
                </c:pt>
                <c:pt idx="69">
                  <c:v>8.5604963207340026E-2</c:v>
                </c:pt>
                <c:pt idx="70">
                  <c:v>8.6321825098438748E-2</c:v>
                </c:pt>
                <c:pt idx="71">
                  <c:v>8.7020036995273969E-2</c:v>
                </c:pt>
                <c:pt idx="72">
                  <c:v>8.7699989616201637E-2</c:v>
                </c:pt>
                <c:pt idx="73">
                  <c:v>8.8362071933012029E-2</c:v>
                </c:pt>
                <c:pt idx="74">
                  <c:v>8.9006670633805074E-2</c:v>
                </c:pt>
                <c:pt idx="75">
                  <c:v>8.9634169636820235E-2</c:v>
                </c:pt>
                <c:pt idx="76">
                  <c:v>9.0244949651633016E-2</c:v>
                </c:pt>
                <c:pt idx="77">
                  <c:v>9.083938778435989E-2</c:v>
                </c:pt>
                <c:pt idx="78">
                  <c:v>9.1417857183728454E-2</c:v>
                </c:pt>
                <c:pt idx="79">
                  <c:v>9.1980726725071599E-2</c:v>
                </c:pt>
                <c:pt idx="80">
                  <c:v>9.252836072949433E-2</c:v>
                </c:pt>
                <c:pt idx="81">
                  <c:v>9.3061118715639449E-2</c:v>
                </c:pt>
                <c:pt idx="82">
                  <c:v>9.3579355181645646E-2</c:v>
                </c:pt>
                <c:pt idx="83">
                  <c:v>9.4083419415047845E-2</c:v>
                </c:pt>
                <c:pt idx="84">
                  <c:v>9.4573655328516845E-2</c:v>
                </c:pt>
                <c:pt idx="85">
                  <c:v>9.5050401319472885E-2</c:v>
                </c:pt>
                <c:pt idx="86">
                  <c:v>9.5513990151737269E-2</c:v>
                </c:pt>
                <c:pt idx="87">
                  <c:v>9.5964748857507484E-2</c:v>
                </c:pt>
                <c:pt idx="88">
                  <c:v>9.6402998658054545E-2</c:v>
                </c:pt>
                <c:pt idx="89">
                  <c:v>9.6829054901648504E-2</c:v>
                </c:pt>
                <c:pt idx="90">
                  <c:v>9.7243227017317496E-2</c:v>
                </c:pt>
                <c:pt idx="91">
                  <c:v>9.764581848313976E-2</c:v>
                </c:pt>
                <c:pt idx="92">
                  <c:v>9.8037126807855562E-2</c:v>
                </c:pt>
                <c:pt idx="93">
                  <c:v>9.841744352466858E-2</c:v>
                </c:pt>
                <c:pt idx="94">
                  <c:v>9.8787054196183222E-2</c:v>
                </c:pt>
                <c:pt idx="95">
                  <c:v>9.9146238429496672E-2</c:v>
                </c:pt>
                <c:pt idx="96">
                  <c:v>9.9495269900532049E-2</c:v>
                </c:pt>
                <c:pt idx="97">
                  <c:v>9.9834416386762687E-2</c:v>
                </c:pt>
                <c:pt idx="98">
                  <c:v>0.10016393980753653</c:v>
                </c:pt>
                <c:pt idx="99">
                  <c:v>0.10048409627126569</c:v>
                </c:pt>
                <c:pt idx="100">
                  <c:v>0.10079513612879781</c:v>
                </c:pt>
                <c:pt idx="101">
                  <c:v>0.10109730403233487</c:v>
                </c:pt>
                <c:pt idx="102">
                  <c:v>0.10139083899931041</c:v>
                </c:pt>
                <c:pt idx="103">
                  <c:v>0.1016759744806791</c:v>
                </c:pt>
                <c:pt idx="104">
                  <c:v>0.10195293843311205</c:v>
                </c:pt>
                <c:pt idx="105">
                  <c:v>0.10222195339462899</c:v>
                </c:pt>
                <c:pt idx="106">
                  <c:v>0.10248323656323285</c:v>
                </c:pt>
                <c:pt idx="107">
                  <c:v>0.10273699987814544</c:v>
                </c:pt>
                <c:pt idx="108">
                  <c:v>0.10298345010327271</c:v>
                </c:pt>
                <c:pt idx="109">
                  <c:v>0.10322278891255719</c:v>
                </c:pt>
                <c:pt idx="110">
                  <c:v>0.10345521297690131</c:v>
                </c:pt>
                <c:pt idx="111">
                  <c:v>0.10368091405237041</c:v>
                </c:pt>
                <c:pt idx="112">
                  <c:v>0.10390007906940717</c:v>
                </c:pt>
                <c:pt idx="113">
                  <c:v>0.10411289022281109</c:v>
                </c:pt>
                <c:pt idx="114">
                  <c:v>0.10431952506225667</c:v>
                </c:pt>
                <c:pt idx="115">
                  <c:v>0.10452015658314259</c:v>
                </c:pt>
                <c:pt idx="116">
                  <c:v>0.1047149533175822</c:v>
                </c:pt>
                <c:pt idx="117">
                  <c:v>0.10490407942536131</c:v>
                </c:pt>
                <c:pt idx="118">
                  <c:v>0.10508769478470524</c:v>
                </c:pt>
                <c:pt idx="119">
                  <c:v>0.10526595508271046</c:v>
                </c:pt>
                <c:pt idx="120">
                  <c:v>0.10543901190531013</c:v>
                </c:pt>
                <c:pt idx="121">
                  <c:v>0.10560701282665452</c:v>
                </c:pt>
                <c:pt idx="122">
                  <c:v>0.10577010149779902</c:v>
                </c:pt>
                <c:pt idx="123">
                  <c:v>0.10592841773460288</c:v>
                </c:pt>
                <c:pt idx="124">
                  <c:v>0.1060820976047519</c:v>
                </c:pt>
                <c:pt idx="125">
                  <c:v>0.1062312735138272</c:v>
                </c:pt>
                <c:pt idx="126">
                  <c:v>0.10637607429035068</c:v>
                </c:pt>
                <c:pt idx="127">
                  <c:v>0.10651662526974588</c:v>
                </c:pt>
                <c:pt idx="128">
                  <c:v>0.10665304837716019</c:v>
                </c:pt>
                <c:pt idx="129">
                  <c:v>0.10678546220910062</c:v>
                </c:pt>
                <c:pt idx="130">
                  <c:v>0.10691398211384245</c:v>
                </c:pt>
                <c:pt idx="131">
                  <c:v>0.10703872027057504</c:v>
                </c:pt>
                <c:pt idx="132">
                  <c:v>0.10715978576725492</c:v>
                </c:pt>
                <c:pt idx="133">
                  <c:v>0.10727728467714089</c:v>
                </c:pt>
                <c:pt idx="134">
                  <c:v>0.10739132013399066</c:v>
                </c:pt>
                <c:pt idx="135">
                  <c:v>0.10750199240590255</c:v>
                </c:pt>
                <c:pt idx="136">
                  <c:v>0.10760939896778952</c:v>
                </c:pt>
                <c:pt idx="137">
                  <c:v>0.10771363457247671</c:v>
                </c:pt>
                <c:pt idx="138">
                  <c:v>0.10781479132041637</c:v>
                </c:pt>
                <c:pt idx="139">
                  <c:v>0.10791295872801759</c:v>
                </c:pt>
                <c:pt idx="140">
                  <c:v>0.10800822379459046</c:v>
                </c:pt>
                <c:pt idx="141">
                  <c:v>0.10810067106790691</c:v>
                </c:pt>
                <c:pt idx="142">
                  <c:v>0.10819038270838305</c:v>
                </c:pt>
                <c:pt idx="143">
                  <c:v>0.10827743855188936</c:v>
                </c:pt>
                <c:pt idx="144">
                  <c:v>0.1083619161711973</c:v>
                </c:pt>
                <c:pt idx="145">
                  <c:v>0.10844389093607239</c:v>
                </c:pt>
                <c:pt idx="146">
                  <c:v>0.10852343607202558</c:v>
                </c:pt>
                <c:pt idx="147">
                  <c:v>0.10860062271773568</c:v>
                </c:pt>
                <c:pt idx="148">
                  <c:v>0.10867551998115732</c:v>
                </c:pt>
                <c:pt idx="149">
                  <c:v>0.10874819499432953</c:v>
                </c:pt>
                <c:pt idx="150">
                  <c:v>0.1088187129669015</c:v>
                </c:pt>
                <c:pt idx="151">
                  <c:v>0.10888713723839237</c:v>
                </c:pt>
                <c:pt idx="152">
                  <c:v>0.10895352932920309</c:v>
                </c:pt>
                <c:pt idx="153">
                  <c:v>0.10901794899039889</c:v>
                </c:pt>
                <c:pt idx="154">
                  <c:v>0.10908045425228147</c:v>
                </c:pt>
                <c:pt idx="155">
                  <c:v>0.10914110147177032</c:v>
                </c:pt>
                <c:pt idx="156">
                  <c:v>0.10919994537861342</c:v>
                </c:pt>
                <c:pt idx="157">
                  <c:v>0.10925703912044737</c:v>
                </c:pt>
                <c:pt idx="158">
                  <c:v>0.10931243430672763</c:v>
                </c:pt>
                <c:pt idx="159">
                  <c:v>0.10936618105154974</c:v>
                </c:pt>
                <c:pt idx="160">
                  <c:v>0.10941832801538239</c:v>
                </c:pt>
                <c:pt idx="161">
                  <c:v>0.10946892244573314</c:v>
                </c:pt>
                <c:pt idx="162">
                  <c:v>0.10951801021676837</c:v>
                </c:pt>
                <c:pt idx="163">
                  <c:v>0.10956563586790806</c:v>
                </c:pt>
                <c:pt idx="164">
                  <c:v>0.10961184264141688</c:v>
                </c:pt>
                <c:pt idx="165">
                  <c:v>0.10965667251901226</c:v>
                </c:pt>
                <c:pt idx="166">
                  <c:v>0.10970016625751067</c:v>
                </c:pt>
                <c:pt idx="167">
                  <c:v>0.10974236342353265</c:v>
                </c:pt>
                <c:pt idx="168">
                  <c:v>0.10978330242728751</c:v>
                </c:pt>
                <c:pt idx="169">
                  <c:v>0.10982302055545788</c:v>
                </c:pt>
                <c:pt idx="170">
                  <c:v>0.10986155400320469</c:v>
                </c:pt>
                <c:pt idx="171">
                  <c:v>0.10989893790531242</c:v>
                </c:pt>
                <c:pt idx="172">
                  <c:v>0.10993520636649468</c:v>
                </c:pt>
                <c:pt idx="173">
                  <c:v>0.10997039249087946</c:v>
                </c:pt>
                <c:pt idx="174">
                  <c:v>0.11000452841069377</c:v>
                </c:pt>
                <c:pt idx="175">
                  <c:v>0.11003764531416631</c:v>
                </c:pt>
                <c:pt idx="176">
                  <c:v>0.11006977347266726</c:v>
                </c:pt>
                <c:pt idx="177">
                  <c:v>0.11010094226710378</c:v>
                </c:pt>
                <c:pt idx="178">
                  <c:v>0.11013118021358895</c:v>
                </c:pt>
                <c:pt idx="179">
                  <c:v>0.11016051498840272</c:v>
                </c:pt>
                <c:pt idx="180">
                  <c:v>0.11018897345226189</c:v>
                </c:pt>
                <c:pt idx="181">
                  <c:v>0.11021658167391676</c:v>
                </c:pt>
                <c:pt idx="182">
                  <c:v>0.11024336495309132</c:v>
                </c:pt>
                <c:pt idx="183">
                  <c:v>0.11026934784278358</c:v>
                </c:pt>
                <c:pt idx="184">
                  <c:v>0.11029455417094242</c:v>
                </c:pt>
                <c:pt idx="185">
                  <c:v>0.11031900706153704</c:v>
                </c:pt>
                <c:pt idx="186">
                  <c:v>0.11034272895503461</c:v>
                </c:pt>
                <c:pt idx="187">
                  <c:v>0.11036574162830143</c:v>
                </c:pt>
                <c:pt idx="188">
                  <c:v>0.1103880662139429</c:v>
                </c:pt>
                <c:pt idx="189">
                  <c:v>0.11040972321909674</c:v>
                </c:pt>
                <c:pt idx="190">
                  <c:v>0.11043073254369405</c:v>
                </c:pt>
                <c:pt idx="191">
                  <c:v>0.11045111349820227</c:v>
                </c:pt>
                <c:pt idx="192">
                  <c:v>0.11047088482086384</c:v>
                </c:pt>
                <c:pt idx="193">
                  <c:v>0.11049006469444395</c:v>
                </c:pt>
                <c:pt idx="194">
                  <c:v>0.11050867076250068</c:v>
                </c:pt>
                <c:pt idx="195">
                  <c:v>0.1105267201451903</c:v>
                </c:pt>
                <c:pt idx="196">
                  <c:v>0.11054422945462036</c:v>
                </c:pt>
                <c:pt idx="197">
                  <c:v>0.11056121480976278</c:v>
                </c:pt>
                <c:pt idx="198">
                  <c:v>0.11057769185093896</c:v>
                </c:pt>
                <c:pt idx="199">
                  <c:v>0.11059367575388865</c:v>
                </c:pt>
                <c:pt idx="200">
                  <c:v>0.11060918124343379</c:v>
                </c:pt>
                <c:pt idx="201">
                  <c:v>0.1106242226067488</c:v>
                </c:pt>
                <c:pt idx="202">
                  <c:v>0.11063881370624784</c:v>
                </c:pt>
                <c:pt idx="203">
                  <c:v>0.11065296799209975</c:v>
                </c:pt>
                <c:pt idx="204">
                  <c:v>0.11066669851438109</c:v>
                </c:pt>
                <c:pt idx="205">
                  <c:v>0.11068001793487715</c:v>
                </c:pt>
                <c:pt idx="206">
                  <c:v>0.11069293853854102</c:v>
                </c:pt>
                <c:pt idx="207">
                  <c:v>0.11070547224461989</c:v>
                </c:pt>
                <c:pt idx="208">
                  <c:v>0.1107176306174583</c:v>
                </c:pt>
                <c:pt idx="209">
                  <c:v>0.1107294248769871</c:v>
                </c:pt>
                <c:pt idx="210">
                  <c:v>0.11074086590890712</c:v>
                </c:pt>
                <c:pt idx="211">
                  <c:v>0.11075196427457618</c:v>
                </c:pt>
                <c:pt idx="212">
                  <c:v>0.11076273022060762</c:v>
                </c:pt>
                <c:pt idx="213">
                  <c:v>0.11077317368818883</c:v>
                </c:pt>
                <c:pt idx="214">
                  <c:v>0.11078330432212741</c:v>
                </c:pt>
                <c:pt idx="215">
                  <c:v>0.11079313147963291</c:v>
                </c:pt>
                <c:pt idx="216">
                  <c:v>0.11080266423884153</c:v>
                </c:pt>
                <c:pt idx="217">
                  <c:v>0.11081191140709128</c:v>
                </c:pt>
                <c:pt idx="218">
                  <c:v>0.1108208815289545</c:v>
                </c:pt>
                <c:pt idx="219">
                  <c:v>0.11082958289403493</c:v>
                </c:pt>
                <c:pt idx="220">
                  <c:v>0.11083802354453585</c:v>
                </c:pt>
                <c:pt idx="221">
                  <c:v>0.11084621128260602</c:v>
                </c:pt>
                <c:pt idx="222">
                  <c:v>0.11085415367746967</c:v>
                </c:pt>
                <c:pt idx="223">
                  <c:v>0.11086185807234691</c:v>
                </c:pt>
                <c:pt idx="224">
                  <c:v>0.11086933159117043</c:v>
                </c:pt>
                <c:pt idx="225">
                  <c:v>0.1108765811451045</c:v>
                </c:pt>
                <c:pt idx="226">
                  <c:v>0.1108836134388719</c:v>
                </c:pt>
                <c:pt idx="227">
                  <c:v>0.11089043497689435</c:v>
                </c:pt>
                <c:pt idx="228">
                  <c:v>0.11089705206925188</c:v>
                </c:pt>
                <c:pt idx="229">
                  <c:v>0.11090347083746632</c:v>
                </c:pt>
                <c:pt idx="230">
                  <c:v>0.11090969722011407</c:v>
                </c:pt>
                <c:pt idx="231">
                  <c:v>0.11091573697827307</c:v>
                </c:pt>
                <c:pt idx="232">
                  <c:v>0.11092159570080884</c:v>
                </c:pt>
                <c:pt idx="233">
                  <c:v>0.11092727880950418</c:v>
                </c:pt>
                <c:pt idx="234">
                  <c:v>0.11093279156403722</c:v>
                </c:pt>
                <c:pt idx="235">
                  <c:v>0.11093813906681213</c:v>
                </c:pt>
                <c:pt idx="236">
                  <c:v>0.11094332626764676</c:v>
                </c:pt>
                <c:pt idx="237">
                  <c:v>0.11094835796832156</c:v>
                </c:pt>
                <c:pt idx="238">
                  <c:v>0.11095323882699369</c:v>
                </c:pt>
                <c:pt idx="239">
                  <c:v>0.1109579733624803</c:v>
                </c:pt>
                <c:pt idx="240">
                  <c:v>0.11096256595841478</c:v>
                </c:pt>
                <c:pt idx="241">
                  <c:v>0.11096702086727983</c:v>
                </c:pt>
                <c:pt idx="242">
                  <c:v>0.11097134221432073</c:v>
                </c:pt>
                <c:pt idx="243">
                  <c:v>0.11097553400134259</c:v>
                </c:pt>
                <c:pt idx="244">
                  <c:v>0.11097960011039482</c:v>
                </c:pt>
                <c:pt idx="245">
                  <c:v>0.1109835443073461</c:v>
                </c:pt>
                <c:pt idx="246">
                  <c:v>0.1109873702453533</c:v>
                </c:pt>
                <c:pt idx="247">
                  <c:v>0.11099108146822712</c:v>
                </c:pt>
                <c:pt idx="248">
                  <c:v>0.11099468141369787</c:v>
                </c:pt>
                <c:pt idx="249">
                  <c:v>0.11099817341658401</c:v>
                </c:pt>
                <c:pt idx="250">
                  <c:v>0.1110015607118665</c:v>
                </c:pt>
                <c:pt idx="251">
                  <c:v>0.11100484643767172</c:v>
                </c:pt>
                <c:pt idx="252">
                  <c:v>0.11100803363816555</c:v>
                </c:pt>
                <c:pt idx="253">
                  <c:v>0.11101112526636139</c:v>
                </c:pt>
                <c:pt idx="254">
                  <c:v>0.11101412418684452</c:v>
                </c:pt>
                <c:pt idx="255">
                  <c:v>0.11101703317841533</c:v>
                </c:pt>
                <c:pt idx="256">
                  <c:v>0.11101985493665389</c:v>
                </c:pt>
                <c:pt idx="257">
                  <c:v>0.11102259207640808</c:v>
                </c:pt>
                <c:pt idx="258">
                  <c:v>0.11102524713420747</c:v>
                </c:pt>
                <c:pt idx="259">
                  <c:v>0.11102782257060548</c:v>
                </c:pt>
                <c:pt idx="260">
                  <c:v>0.11103032077245145</c:v>
                </c:pt>
                <c:pt idx="261">
                  <c:v>0.11103274405509526</c:v>
                </c:pt>
                <c:pt idx="262">
                  <c:v>0.11103509466452596</c:v>
                </c:pt>
                <c:pt idx="263">
                  <c:v>0.1110373747794467</c:v>
                </c:pt>
                <c:pt idx="264">
                  <c:v>0.11103958651328778</c:v>
                </c:pt>
                <c:pt idx="265">
                  <c:v>0.11104173191615967</c:v>
                </c:pt>
                <c:pt idx="266">
                  <c:v>0.11104381297674761</c:v>
                </c:pt>
                <c:pt idx="267">
                  <c:v>0.1110458316241498</c:v>
                </c:pt>
                <c:pt idx="268">
                  <c:v>0.11104778972966069</c:v>
                </c:pt>
                <c:pt idx="269">
                  <c:v>0.11104968910850092</c:v>
                </c:pt>
                <c:pt idx="270">
                  <c:v>0.11105153152149581</c:v>
                </c:pt>
                <c:pt idx="271">
                  <c:v>0.11105331867670348</c:v>
                </c:pt>
                <c:pt idx="272">
                  <c:v>0.11105505223099453</c:v>
                </c:pt>
                <c:pt idx="273">
                  <c:v>0.11105673379158446</c:v>
                </c:pt>
                <c:pt idx="274">
                  <c:v>0.11105836491752025</c:v>
                </c:pt>
                <c:pt idx="275">
                  <c:v>0.11105994712112269</c:v>
                </c:pt>
                <c:pt idx="276">
                  <c:v>0.11106148186938537</c:v>
                </c:pt>
                <c:pt idx="277">
                  <c:v>0.11106297058533211</c:v>
                </c:pt>
                <c:pt idx="278">
                  <c:v>0.11106441464933356</c:v>
                </c:pt>
                <c:pt idx="279">
                  <c:v>0.11106581540038468</c:v>
                </c:pt>
                <c:pt idx="280">
                  <c:v>0.11106717413734389</c:v>
                </c:pt>
                <c:pt idx="281">
                  <c:v>0.11106849212013514</c:v>
                </c:pt>
                <c:pt idx="282">
                  <c:v>0.11106977057091419</c:v>
                </c:pt>
                <c:pt idx="283">
                  <c:v>0.11107101067519981</c:v>
                </c:pt>
                <c:pt idx="284">
                  <c:v>0.11107221358297134</c:v>
                </c:pt>
                <c:pt idx="285">
                  <c:v>0.1110733804097333</c:v>
                </c:pt>
                <c:pt idx="286">
                  <c:v>0.11107451223754816</c:v>
                </c:pt>
                <c:pt idx="287">
                  <c:v>0.11107561011603825</c:v>
                </c:pt>
                <c:pt idx="288">
                  <c:v>0.11107667506335771</c:v>
                </c:pt>
                <c:pt idx="289">
                  <c:v>0.11107770806713525</c:v>
                </c:pt>
                <c:pt idx="290">
                  <c:v>0.11107871008538889</c:v>
                </c:pt>
                <c:pt idx="291">
                  <c:v>0.11107968204741309</c:v>
                </c:pt>
                <c:pt idx="292">
                  <c:v>0.11108062485463953</c:v>
                </c:pt>
                <c:pt idx="293">
                  <c:v>0.11108153938147203</c:v>
                </c:pt>
                <c:pt idx="294">
                  <c:v>0.11108242647609648</c:v>
                </c:pt>
                <c:pt idx="295">
                  <c:v>0.11108328696126654</c:v>
                </c:pt>
                <c:pt idx="296">
                  <c:v>0.11108412163506583</c:v>
                </c:pt>
                <c:pt idx="297">
                  <c:v>0.11108493127164727</c:v>
                </c:pt>
                <c:pt idx="298">
                  <c:v>0.11108571662195033</c:v>
                </c:pt>
                <c:pt idx="299">
                  <c:v>0.11108647841439674</c:v>
                </c:pt>
                <c:pt idx="300">
                  <c:v>0.11108721735556547</c:v>
                </c:pt>
                <c:pt idx="301">
                  <c:v>0.11108793413084733</c:v>
                </c:pt>
                <c:pt idx="302">
                  <c:v>0.11108862940508016</c:v>
                </c:pt>
                <c:pt idx="303">
                  <c:v>0.11108930382316484</c:v>
                </c:pt>
                <c:pt idx="304">
                  <c:v>0.11108995801066297</c:v>
                </c:pt>
                <c:pt idx="305">
                  <c:v>0.11109059257437655</c:v>
                </c:pt>
                <c:pt idx="306">
                  <c:v>0.11109120810291033</c:v>
                </c:pt>
                <c:pt idx="307">
                  <c:v>0.11109180516721738</c:v>
                </c:pt>
                <c:pt idx="308">
                  <c:v>0.11109238432112821</c:v>
                </c:pt>
                <c:pt idx="309">
                  <c:v>0.1110929461018641</c:v>
                </c:pt>
                <c:pt idx="310">
                  <c:v>0.11109349103053505</c:v>
                </c:pt>
                <c:pt idx="311">
                  <c:v>0.11109401961262282</c:v>
                </c:pt>
                <c:pt idx="312">
                  <c:v>0.11109453233844942</c:v>
                </c:pt>
                <c:pt idx="313">
                  <c:v>0.11109502968363169</c:v>
                </c:pt>
                <c:pt idx="314">
                  <c:v>0.11109551210952215</c:v>
                </c:pt>
                <c:pt idx="315">
                  <c:v>0.11109598006363669</c:v>
                </c:pt>
                <c:pt idx="316">
                  <c:v>0.11109643398006944</c:v>
                </c:pt>
                <c:pt idx="317">
                  <c:v>0.11109687427989519</c:v>
                </c:pt>
                <c:pt idx="318">
                  <c:v>0.11109730137155981</c:v>
                </c:pt>
                <c:pt idx="319">
                  <c:v>0.11109771565125884</c:v>
                </c:pt>
                <c:pt idx="320">
                  <c:v>0.11109811750330492</c:v>
                </c:pt>
                <c:pt idx="321">
                  <c:v>0.111098507300484</c:v>
                </c:pt>
                <c:pt idx="322">
                  <c:v>0.11109888540440106</c:v>
                </c:pt>
                <c:pt idx="323">
                  <c:v>0.11109925216581536</c:v>
                </c:pt>
                <c:pt idx="324">
                  <c:v>0.11109960792496563</c:v>
                </c:pt>
                <c:pt idx="325">
                  <c:v>0.11109995301188562</c:v>
                </c:pt>
                <c:pt idx="326">
                  <c:v>0.11110028774671007</c:v>
                </c:pt>
                <c:pt idx="327">
                  <c:v>0.1111006124399716</c:v>
                </c:pt>
                <c:pt idx="328">
                  <c:v>0.1111009273928886</c:v>
                </c:pt>
                <c:pt idx="329">
                  <c:v>0.11110123289764462</c:v>
                </c:pt>
                <c:pt idx="330">
                  <c:v>0.11110152923765929</c:v>
                </c:pt>
                <c:pt idx="331">
                  <c:v>0.1111018166878511</c:v>
                </c:pt>
                <c:pt idx="332">
                  <c:v>0.11110209551489246</c:v>
                </c:pt>
                <c:pt idx="333">
                  <c:v>0.11110236597745687</c:v>
                </c:pt>
                <c:pt idx="334">
                  <c:v>0.1111026283264589</c:v>
                </c:pt>
                <c:pt idx="335">
                  <c:v>0.1111028828052868</c:v>
                </c:pt>
                <c:pt idx="336">
                  <c:v>0.1111031296500283</c:v>
                </c:pt>
                <c:pt idx="337">
                  <c:v>0.11110336908968958</c:v>
                </c:pt>
                <c:pt idx="338">
                  <c:v>0.11110360134640754</c:v>
                </c:pt>
                <c:pt idx="339">
                  <c:v>0.11110382663565589</c:v>
                </c:pt>
                <c:pt idx="340">
                  <c:v>0.11110404516644504</c:v>
                </c:pt>
                <c:pt idx="341">
                  <c:v>0.11110425714151584</c:v>
                </c:pt>
                <c:pt idx="342">
                  <c:v>0.11110446275752772</c:v>
                </c:pt>
                <c:pt idx="343">
                  <c:v>0.11110466220524104</c:v>
                </c:pt>
                <c:pt idx="344">
                  <c:v>0.111104855669694</c:v>
                </c:pt>
                <c:pt idx="345">
                  <c:v>0.11110504333037431</c:v>
                </c:pt>
                <c:pt idx="346">
                  <c:v>0.11110522536138563</c:v>
                </c:pt>
                <c:pt idx="347">
                  <c:v>0.11110540193160909</c:v>
                </c:pt>
                <c:pt idx="348">
                  <c:v>0.11110557320485989</c:v>
                </c:pt>
                <c:pt idx="349">
                  <c:v>0.1111057393400393</c:v>
                </c:pt>
                <c:pt idx="350">
                  <c:v>0.11110590049128199</c:v>
                </c:pt>
                <c:pt idx="351">
                  <c:v>0.11110605680809907</c:v>
                </c:pt>
                <c:pt idx="352">
                  <c:v>0.1111062084355167</c:v>
                </c:pt>
                <c:pt idx="353">
                  <c:v>0.11110635551421066</c:v>
                </c:pt>
                <c:pt idx="354">
                  <c:v>0.11110649818063682</c:v>
                </c:pt>
                <c:pt idx="355">
                  <c:v>0.11110663656715772</c:v>
                </c:pt>
                <c:pt idx="356">
                  <c:v>0.11110677080216533</c:v>
                </c:pt>
                <c:pt idx="357">
                  <c:v>0.11110690101020017</c:v>
                </c:pt>
                <c:pt idx="358">
                  <c:v>0.11110702731206687</c:v>
                </c:pt>
                <c:pt idx="359">
                  <c:v>0.11110714982494616</c:v>
                </c:pt>
                <c:pt idx="360">
                  <c:v>0.1111072686625036</c:v>
                </c:pt>
                <c:pt idx="361">
                  <c:v>0.11110738393499504</c:v>
                </c:pt>
                <c:pt idx="362">
                  <c:v>0.11110749574936887</c:v>
                </c:pt>
                <c:pt idx="363">
                  <c:v>0.11110760420936525</c:v>
                </c:pt>
                <c:pt idx="364">
                  <c:v>0.11110770941561231</c:v>
                </c:pt>
                <c:pt idx="365">
                  <c:v>0.11110781146571955</c:v>
                </c:pt>
                <c:pt idx="366">
                  <c:v>0.11110791045436835</c:v>
                </c:pt>
                <c:pt idx="367">
                  <c:v>0.11110800647339983</c:v>
                </c:pt>
                <c:pt idx="368">
                  <c:v>0.11110809961189999</c:v>
                </c:pt>
                <c:pt idx="369">
                  <c:v>0.11110818995628244</c:v>
                </c:pt>
                <c:pt idx="370">
                  <c:v>0.11110827759036852</c:v>
                </c:pt>
                <c:pt idx="371">
                  <c:v>0.11110836259546504</c:v>
                </c:pt>
                <c:pt idx="372">
                  <c:v>0.11110844505043974</c:v>
                </c:pt>
                <c:pt idx="373">
                  <c:v>0.11110852503179441</c:v>
                </c:pt>
                <c:pt idx="374">
                  <c:v>0.11110860261373595</c:v>
                </c:pt>
                <c:pt idx="375">
                  <c:v>0.11110867786824512</c:v>
                </c:pt>
                <c:pt idx="376">
                  <c:v>0.11110875086514337</c:v>
                </c:pt>
                <c:pt idx="377">
                  <c:v>0.11110882167215758</c:v>
                </c:pt>
                <c:pt idx="378">
                  <c:v>0.11110889035498292</c:v>
                </c:pt>
                <c:pt idx="379">
                  <c:v>0.11110895697734378</c:v>
                </c:pt>
                <c:pt idx="380">
                  <c:v>0.1111090216010529</c:v>
                </c:pt>
                <c:pt idx="381">
                  <c:v>0.11110908428606871</c:v>
                </c:pt>
                <c:pt idx="382">
                  <c:v>0.11110914509055093</c:v>
                </c:pt>
                <c:pt idx="383">
                  <c:v>0.1111092040709146</c:v>
                </c:pt>
                <c:pt idx="384">
                  <c:v>0.1111092612818823</c:v>
                </c:pt>
                <c:pt idx="385">
                  <c:v>0.11110931677653503</c:v>
                </c:pt>
                <c:pt idx="386">
                  <c:v>0.11110937060636145</c:v>
                </c:pt>
                <c:pt idx="387">
                  <c:v>0.11110942282130551</c:v>
                </c:pt>
                <c:pt idx="388">
                  <c:v>0.11110947346981298</c:v>
                </c:pt>
                <c:pt idx="389">
                  <c:v>0.11110952259887626</c:v>
                </c:pt>
                <c:pt idx="390">
                  <c:v>0.111109570254078</c:v>
                </c:pt>
                <c:pt idx="391">
                  <c:v>0.11110961647963347</c:v>
                </c:pt>
                <c:pt idx="392">
                  <c:v>0.11110966131843145</c:v>
                </c:pt>
                <c:pt idx="393">
                  <c:v>0.11110970481207415</c:v>
                </c:pt>
                <c:pt idx="394">
                  <c:v>0.11110974700091569</c:v>
                </c:pt>
                <c:pt idx="395">
                  <c:v>0.11110978792409965</c:v>
                </c:pt>
                <c:pt idx="396">
                  <c:v>0.11110982761959529</c:v>
                </c:pt>
                <c:pt idx="397">
                  <c:v>0.11110986612423282</c:v>
                </c:pt>
                <c:pt idx="398">
                  <c:v>0.1111099034737376</c:v>
                </c:pt>
                <c:pt idx="399">
                  <c:v>0.11110993970276324</c:v>
                </c:pt>
                <c:pt idx="400">
                  <c:v>0.11110997484492376</c:v>
                </c:pt>
                <c:pt idx="401">
                  <c:v>0.11111000893282476</c:v>
                </c:pt>
                <c:pt idx="402">
                  <c:v>0.11111004199809374</c:v>
                </c:pt>
                <c:pt idx="403">
                  <c:v>0.11111007407140934</c:v>
                </c:pt>
                <c:pt idx="404">
                  <c:v>0.11111010518252989</c:v>
                </c:pt>
                <c:pt idx="405">
                  <c:v>0.11111013536032101</c:v>
                </c:pt>
                <c:pt idx="406">
                  <c:v>0.1111101646327823</c:v>
                </c:pt>
                <c:pt idx="407">
                  <c:v>0.11111019302707342</c:v>
                </c:pt>
                <c:pt idx="408">
                  <c:v>0.11111022056953929</c:v>
                </c:pt>
                <c:pt idx="409">
                  <c:v>0.11111024728573443</c:v>
                </c:pt>
                <c:pt idx="410">
                  <c:v>0.11111027320044681</c:v>
                </c:pt>
                <c:pt idx="411">
                  <c:v>0.11111029833772068</c:v>
                </c:pt>
                <c:pt idx="412">
                  <c:v>0.11111032272087906</c:v>
                </c:pt>
                <c:pt idx="413">
                  <c:v>0.11111034637254526</c:v>
                </c:pt>
                <c:pt idx="414">
                  <c:v>0.11111036931466386</c:v>
                </c:pt>
                <c:pt idx="415">
                  <c:v>0.11111039156852118</c:v>
                </c:pt>
                <c:pt idx="416">
                  <c:v>0.1111104131547649</c:v>
                </c:pt>
                <c:pt idx="417">
                  <c:v>0.1111104340934233</c:v>
                </c:pt>
                <c:pt idx="418">
                  <c:v>0.11111045440392385</c:v>
                </c:pt>
                <c:pt idx="419">
                  <c:v>0.11111047410511116</c:v>
                </c:pt>
                <c:pt idx="420">
                  <c:v>0.11111049321526451</c:v>
                </c:pt>
                <c:pt idx="421">
                  <c:v>0.11111051175211482</c:v>
                </c:pt>
                <c:pt idx="422">
                  <c:v>0.11111052973286112</c:v>
                </c:pt>
                <c:pt idx="423">
                  <c:v>0.11111054717418641</c:v>
                </c:pt>
                <c:pt idx="424">
                  <c:v>0.11111056409227325</c:v>
                </c:pt>
                <c:pt idx="425">
                  <c:v>0.11111058050281872</c:v>
                </c:pt>
                <c:pt idx="426">
                  <c:v>0.11111059642104898</c:v>
                </c:pt>
                <c:pt idx="427">
                  <c:v>0.11111061186173343</c:v>
                </c:pt>
                <c:pt idx="428">
                  <c:v>0.11111062683919837</c:v>
                </c:pt>
                <c:pt idx="429">
                  <c:v>0.11111064136734032</c:v>
                </c:pt>
                <c:pt idx="430">
                  <c:v>0.11111065545963893</c:v>
                </c:pt>
                <c:pt idx="431">
                  <c:v>0.11111066912916942</c:v>
                </c:pt>
                <c:pt idx="432">
                  <c:v>0.1111106823886148</c:v>
                </c:pt>
                <c:pt idx="433">
                  <c:v>0.11111069525027757</c:v>
                </c:pt>
                <c:pt idx="434">
                  <c:v>0.11111070772609118</c:v>
                </c:pt>
                <c:pt idx="435">
                  <c:v>0.11111071982763104</c:v>
                </c:pt>
                <c:pt idx="436">
                  <c:v>0.11111073156612533</c:v>
                </c:pt>
                <c:pt idx="437">
                  <c:v>0.1111107429524654</c:v>
                </c:pt>
                <c:pt idx="438">
                  <c:v>0.1111107539972158</c:v>
                </c:pt>
                <c:pt idx="439">
                  <c:v>0.11111076471062423</c:v>
                </c:pt>
                <c:pt idx="440">
                  <c:v>0.1111107751026309</c:v>
                </c:pt>
                <c:pt idx="441">
                  <c:v>0.11111078518287784</c:v>
                </c:pt>
                <c:pt idx="442">
                  <c:v>0.1111107949607178</c:v>
                </c:pt>
                <c:pt idx="443">
                  <c:v>0.11111080444522298</c:v>
                </c:pt>
                <c:pt idx="444">
                  <c:v>0.11111081364519339</c:v>
                </c:pt>
                <c:pt idx="445">
                  <c:v>0.11111082256916505</c:v>
                </c:pt>
                <c:pt idx="446">
                  <c:v>0.1111108312254179</c:v>
                </c:pt>
                <c:pt idx="447">
                  <c:v>0.11111083962198348</c:v>
                </c:pt>
                <c:pt idx="448">
                  <c:v>0.11111084776665241</c:v>
                </c:pt>
                <c:pt idx="449">
                  <c:v>0.11111085566698155</c:v>
                </c:pt>
                <c:pt idx="450">
                  <c:v>0.11111086333030108</c:v>
                </c:pt>
                <c:pt idx="451">
                  <c:v>0.11111087076372128</c:v>
                </c:pt>
                <c:pt idx="452">
                  <c:v>0.1111108779741391</c:v>
                </c:pt>
                <c:pt idx="453">
                  <c:v>0.11111088496824462</c:v>
                </c:pt>
                <c:pt idx="454">
                  <c:v>0.11111089175252718</c:v>
                </c:pt>
                <c:pt idx="455">
                  <c:v>0.11111089833328146</c:v>
                </c:pt>
                <c:pt idx="456">
                  <c:v>0.11111090471661331</c:v>
                </c:pt>
                <c:pt idx="457">
                  <c:v>0.11111091090844535</c:v>
                </c:pt>
                <c:pt idx="458">
                  <c:v>0.11111091691452261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65-4146-902A-7D17D40DD096}"/>
            </c:ext>
          </c:extLst>
        </c:ser>
        <c:ser>
          <c:idx val="3"/>
          <c:order val="3"/>
          <c:tx>
            <c:strRef>
              <c:f>'DTMC - with Repair'!$J$1</c:f>
              <c:strCache>
                <c:ptCount val="1"/>
                <c:pt idx="0">
                  <c:v>R(t)</c:v>
                </c:pt>
              </c:strCache>
            </c:strRef>
          </c:tx>
          <c:spPr>
            <a:ln w="28575" cap="rnd">
              <a:solidFill>
                <a:schemeClr val="bg1"/>
              </a:solidFill>
              <a:prstDash val="lgDash"/>
            </a:ln>
            <a:effectLst>
              <a:glow rad="139700">
                <a:schemeClr val="bg1"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'DTMC - with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with Repair'!$J$2:$J$460</c:f>
              <c:numCache>
                <c:formatCode>0.00%</c:formatCode>
                <c:ptCount val="459"/>
                <c:pt idx="0">
                  <c:v>1</c:v>
                </c:pt>
                <c:pt idx="1">
                  <c:v>0.99990000000000001</c:v>
                </c:pt>
                <c:pt idx="2">
                  <c:v>0.99961191000000005</c:v>
                </c:pt>
                <c:pt idx="3">
                  <c:v>0.999152666119</c:v>
                </c:pt>
                <c:pt idx="4">
                  <c:v>0.99853802895136712</c:v>
                </c:pt>
                <c:pt idx="5">
                  <c:v>0.99778265827834134</c:v>
                </c:pt>
                <c:pt idx="6">
                  <c:v>0.99690018320695128</c:v>
                </c:pt>
                <c:pt idx="7">
                  <c:v>0.9959032680112947</c:v>
                </c:pt>
                <c:pt idx="8">
                  <c:v>0.99480367393474511</c:v>
                </c:pt>
                <c:pt idx="9">
                  <c:v>0.99361231719623211</c:v>
                </c:pt>
                <c:pt idx="10">
                  <c:v>0.99233932342923437</c:v>
                </c:pt>
                <c:pt idx="11">
                  <c:v>0.99099407876848711</c:v>
                </c:pt>
                <c:pt idx="12">
                  <c:v>0.98958527778657246</c:v>
                </c:pt>
                <c:pt idx="13">
                  <c:v>0.98812096847048991</c:v>
                </c:pt>
                <c:pt idx="14">
                  <c:v>0.9866085944169547</c:v>
                </c:pt>
                <c:pt idx="15">
                  <c:v>0.98505503441449127</c:v>
                </c:pt>
                <c:pt idx="16">
                  <c:v>0.98346663957034608</c:v>
                </c:pt>
                <c:pt idx="17">
                  <c:v>0.98184926813079731</c:v>
                </c:pt>
                <c:pt idx="18">
                  <c:v>0.98020831813455411</c:v>
                </c:pt>
                <c:pt idx="19">
                  <c:v>0.97854875803058028</c:v>
                </c:pt>
                <c:pt idx="20">
                  <c:v>0.97687515538381797</c:v>
                </c:pt>
                <c:pt idx="21">
                  <c:v>0.97519170378489395</c:v>
                </c:pt>
                <c:pt idx="22">
                  <c:v>0.97350224807293861</c:v>
                </c:pt>
                <c:pt idx="23">
                  <c:v>0.97181030797410783</c:v>
                </c:pt>
                <c:pt idx="24">
                  <c:v>0.97011910025224957</c:v>
                </c:pt>
                <c:pt idx="25">
                  <c:v>0.96843155946237069</c:v>
                </c:pt>
                <c:pt idx="26">
                  <c:v>0.96675035739212289</c:v>
                </c:pt>
                <c:pt idx="27">
                  <c:v>0.96507792127140735</c:v>
                </c:pt>
                <c:pt idx="28">
                  <c:v>0.9634164508253914</c:v>
                </c:pt>
                <c:pt idx="29">
                  <c:v>0.96176793424170115</c:v>
                </c:pt>
                <c:pt idx="30">
                  <c:v>0.96013416311830435</c:v>
                </c:pt>
                <c:pt idx="31">
                  <c:v>0.95851674645459162</c:v>
                </c:pt>
                <c:pt idx="32">
                  <c:v>0.95691712374440707</c:v>
                </c:pt>
                <c:pt idx="33">
                  <c:v>0.95533657722623588</c:v>
                </c:pt>
                <c:pt idx="34">
                  <c:v>0.95377624334243483</c:v>
                </c:pt>
                <c:pt idx="35">
                  <c:v>0.95223712345625844</c:v>
                </c:pt>
                <c:pt idx="36">
                  <c:v>0.95072009387249423</c:v>
                </c:pt>
                <c:pt idx="37">
                  <c:v>0.94922591520475541</c:v>
                </c:pt>
                <c:pt idx="38">
                  <c:v>0.94775524112987619</c:v>
                </c:pt>
                <c:pt idx="39">
                  <c:v>0.94630862656741077</c:v>
                </c:pt>
                <c:pt idx="40">
                  <c:v>0.94488653531993771</c:v>
                </c:pt>
                <c:pt idx="41">
                  <c:v>0.94348934720771038</c:v>
                </c:pt>
                <c:pt idx="42">
                  <c:v>0.94211736472916041</c:v>
                </c:pt>
                <c:pt idx="43">
                  <c:v>0.94077081927684991</c:v>
                </c:pt>
                <c:pt idx="44">
                  <c:v>0.93944987693667548</c:v>
                </c:pt>
                <c:pt idx="45">
                  <c:v>0.93815464389643266</c:v>
                </c:pt>
                <c:pt idx="46">
                  <c:v>0.93688517148826678</c:v>
                </c:pt>
                <c:pt idx="47">
                  <c:v>0.93564146088804012</c:v>
                </c:pt>
                <c:pt idx="48">
                  <c:v>0.93442346749324501</c:v>
                </c:pt>
                <c:pt idx="49">
                  <c:v>0.93323110499977158</c:v>
                </c:pt>
                <c:pt idx="50">
                  <c:v>0.93206424919660114</c:v>
                </c:pt>
                <c:pt idx="51">
                  <c:v>0.93092274149632859</c:v>
                </c:pt>
                <c:pt idx="52">
                  <c:v>0.92980639221832484</c:v>
                </c:pt>
                <c:pt idx="53">
                  <c:v>0.92871498364031813</c:v>
                </c:pt>
                <c:pt idx="54">
                  <c:v>0.92764827283320872</c:v>
                </c:pt>
                <c:pt idx="55">
                  <c:v>0.92660599429301849</c:v>
                </c:pt>
                <c:pt idx="56">
                  <c:v>0.92558786238302593</c:v>
                </c:pt>
                <c:pt idx="57">
                  <c:v>0.92459357359833227</c:v>
                </c:pt>
                <c:pt idx="58">
                  <c:v>0.92362280866434965</c:v>
                </c:pt>
                <c:pt idx="59">
                  <c:v>0.922675234479995</c:v>
                </c:pt>
                <c:pt idx="60">
                  <c:v>0.92175050591570451</c:v>
                </c:pt>
                <c:pt idx="61">
                  <c:v>0.92084826747575921</c:v>
                </c:pt>
                <c:pt idx="62">
                  <c:v>0.91996815483382455</c:v>
                </c:pt>
                <c:pt idx="63">
                  <c:v>0.91910979625005174</c:v>
                </c:pt>
                <c:pt idx="64">
                  <c:v>0.91827281387757276</c:v>
                </c:pt>
                <c:pt idx="65">
                  <c:v>0.91745682496573022</c:v>
                </c:pt>
                <c:pt idx="66">
                  <c:v>0.91666144296692798</c:v>
                </c:pt>
                <c:pt idx="67">
                  <c:v>0.91588627855355476</c:v>
                </c:pt>
                <c:pt idx="68">
                  <c:v>0.91513094055103272</c:v>
                </c:pt>
                <c:pt idx="69">
                  <c:v>0.91439503679265999</c:v>
                </c:pt>
                <c:pt idx="70">
                  <c:v>0.91367817490156122</c:v>
                </c:pt>
                <c:pt idx="71">
                  <c:v>0.91297996300472606</c:v>
                </c:pt>
                <c:pt idx="72">
                  <c:v>0.91230001038379838</c:v>
                </c:pt>
                <c:pt idx="73">
                  <c:v>0.91163792806698796</c:v>
                </c:pt>
                <c:pt idx="74">
                  <c:v>0.91099332936619493</c:v>
                </c:pt>
                <c:pt idx="75">
                  <c:v>0.91036583036317975</c:v>
                </c:pt>
                <c:pt idx="76">
                  <c:v>0.90975505034836701</c:v>
                </c:pt>
                <c:pt idx="77">
                  <c:v>0.90916061221564015</c:v>
                </c:pt>
                <c:pt idx="78">
                  <c:v>0.90858214281627159</c:v>
                </c:pt>
                <c:pt idx="79">
                  <c:v>0.90801927327492837</c:v>
                </c:pt>
                <c:pt idx="80">
                  <c:v>0.90747163927050567</c:v>
                </c:pt>
                <c:pt idx="81">
                  <c:v>0.90693888128436051</c:v>
                </c:pt>
                <c:pt idx="82">
                  <c:v>0.90642064481835438</c:v>
                </c:pt>
                <c:pt idx="83">
                  <c:v>0.90591658058495217</c:v>
                </c:pt>
                <c:pt idx="84">
                  <c:v>0.9054263446714832</c:v>
                </c:pt>
                <c:pt idx="85">
                  <c:v>0.90494959868052716</c:v>
                </c:pt>
                <c:pt idx="86">
                  <c:v>0.90448600984826277</c:v>
                </c:pt>
                <c:pt idx="87">
                  <c:v>0.9040352511424925</c:v>
                </c:pt>
                <c:pt idx="88">
                  <c:v>0.90359700134194543</c:v>
                </c:pt>
                <c:pt idx="89">
                  <c:v>0.9031709450983515</c:v>
                </c:pt>
                <c:pt idx="90">
                  <c:v>0.90275677298268253</c:v>
                </c:pt>
                <c:pt idx="91">
                  <c:v>0.9023541815168602</c:v>
                </c:pt>
                <c:pt idx="92">
                  <c:v>0.90196287319214441</c:v>
                </c:pt>
                <c:pt idx="93">
                  <c:v>0.90158255647533148</c:v>
                </c:pt>
                <c:pt idx="94">
                  <c:v>0.90121294580381672</c:v>
                </c:pt>
                <c:pt idx="95">
                  <c:v>0.90085376157050334</c:v>
                </c:pt>
                <c:pt idx="96">
                  <c:v>0.90050473009946796</c:v>
                </c:pt>
                <c:pt idx="97">
                  <c:v>0.90016558361323729</c:v>
                </c:pt>
                <c:pt idx="98">
                  <c:v>0.89983606019246343</c:v>
                </c:pt>
                <c:pt idx="99">
                  <c:v>0.89951590372873436</c:v>
                </c:pt>
                <c:pt idx="100">
                  <c:v>0.89920486387120224</c:v>
                </c:pt>
                <c:pt idx="101">
                  <c:v>0.89890269596766514</c:v>
                </c:pt>
                <c:pt idx="102">
                  <c:v>0.89860916100068955</c:v>
                </c:pt>
                <c:pt idx="103">
                  <c:v>0.89832402551932089</c:v>
                </c:pt>
                <c:pt idx="104">
                  <c:v>0.89804706156688796</c:v>
                </c:pt>
                <c:pt idx="105">
                  <c:v>0.89777804660537097</c:v>
                </c:pt>
                <c:pt idx="106">
                  <c:v>0.89751676343676712</c:v>
                </c:pt>
                <c:pt idx="107">
                  <c:v>0.89726300012185456</c:v>
                </c:pt>
                <c:pt idx="108">
                  <c:v>0.8970165498967273</c:v>
                </c:pt>
                <c:pt idx="109">
                  <c:v>0.89677721108744279</c:v>
                </c:pt>
                <c:pt idx="110">
                  <c:v>0.8965447870230987</c:v>
                </c:pt>
                <c:pt idx="111">
                  <c:v>0.89631908594762955</c:v>
                </c:pt>
                <c:pt idx="112">
                  <c:v>0.89609992093059287</c:v>
                </c:pt>
                <c:pt idx="113">
                  <c:v>0.89588710977718888</c:v>
                </c:pt>
                <c:pt idx="114">
                  <c:v>0.89568047493774339</c:v>
                </c:pt>
                <c:pt idx="115">
                  <c:v>0.89547984341685738</c:v>
                </c:pt>
                <c:pt idx="116">
                  <c:v>0.89528504668241782</c:v>
                </c:pt>
                <c:pt idx="117">
                  <c:v>0.89509592057463871</c:v>
                </c:pt>
                <c:pt idx="118">
                  <c:v>0.89491230521529475</c:v>
                </c:pt>
                <c:pt idx="119">
                  <c:v>0.89473404491728958</c:v>
                </c:pt>
                <c:pt idx="120">
                  <c:v>0.89456098809468987</c:v>
                </c:pt>
                <c:pt idx="121">
                  <c:v>0.89439298717334548</c:v>
                </c:pt>
                <c:pt idx="122">
                  <c:v>0.89422989850220103</c:v>
                </c:pt>
                <c:pt idx="123">
                  <c:v>0.89407158226539707</c:v>
                </c:pt>
                <c:pt idx="124">
                  <c:v>0.89391790239524815</c:v>
                </c:pt>
                <c:pt idx="125">
                  <c:v>0.89376872648617278</c:v>
                </c:pt>
                <c:pt idx="126">
                  <c:v>0.89362392570964932</c:v>
                </c:pt>
                <c:pt idx="127">
                  <c:v>0.89348337473025408</c:v>
                </c:pt>
                <c:pt idx="128">
                  <c:v>0.89334695162283984</c:v>
                </c:pt>
                <c:pt idx="129">
                  <c:v>0.89321453779089932</c:v>
                </c:pt>
                <c:pt idx="130">
                  <c:v>0.89308601788615749</c:v>
                </c:pt>
                <c:pt idx="131">
                  <c:v>0.89296127972942496</c:v>
                </c:pt>
                <c:pt idx="132">
                  <c:v>0.89284021423274507</c:v>
                </c:pt>
                <c:pt idx="133">
                  <c:v>0.89272271532285907</c:v>
                </c:pt>
                <c:pt idx="134">
                  <c:v>0.89260867986600934</c:v>
                </c:pt>
                <c:pt idx="135">
                  <c:v>0.89249800759409748</c:v>
                </c:pt>
                <c:pt idx="136">
                  <c:v>0.89239060103221046</c:v>
                </c:pt>
                <c:pt idx="137">
                  <c:v>0.89228636542752326</c:v>
                </c:pt>
                <c:pt idx="138">
                  <c:v>0.89218520867958362</c:v>
                </c:pt>
                <c:pt idx="139">
                  <c:v>0.89208704127198235</c:v>
                </c:pt>
                <c:pt idx="140">
                  <c:v>0.89199177620540948</c:v>
                </c:pt>
                <c:pt idx="141">
                  <c:v>0.89189932893209312</c:v>
                </c:pt>
                <c:pt idx="142">
                  <c:v>0.89180961729161701</c:v>
                </c:pt>
                <c:pt idx="143">
                  <c:v>0.89172256144811068</c:v>
                </c:pt>
                <c:pt idx="144">
                  <c:v>0.89163808382880272</c:v>
                </c:pt>
                <c:pt idx="145">
                  <c:v>0.89155610906392757</c:v>
                </c:pt>
                <c:pt idx="146">
                  <c:v>0.89147656392797447</c:v>
                </c:pt>
                <c:pt idx="147">
                  <c:v>0.89139937728226437</c:v>
                </c:pt>
                <c:pt idx="148">
                  <c:v>0.89132448001884268</c:v>
                </c:pt>
                <c:pt idx="149">
                  <c:v>0.89125180500567047</c:v>
                </c:pt>
                <c:pt idx="150">
                  <c:v>0.89118128703309851</c:v>
                </c:pt>
                <c:pt idx="151">
                  <c:v>0.89111286276160762</c:v>
                </c:pt>
                <c:pt idx="152">
                  <c:v>0.8910464706707969</c:v>
                </c:pt>
                <c:pt idx="153">
                  <c:v>0.89098205100960115</c:v>
                </c:pt>
                <c:pt idx="154">
                  <c:v>0.89091954574771859</c:v>
                </c:pt>
                <c:pt idx="155">
                  <c:v>0.89085889852822964</c:v>
                </c:pt>
                <c:pt idx="156">
                  <c:v>0.89080005462138656</c:v>
                </c:pt>
                <c:pt idx="157">
                  <c:v>0.89074296087955263</c:v>
                </c:pt>
                <c:pt idx="158">
                  <c:v>0.89068756569327234</c:v>
                </c:pt>
                <c:pt idx="159">
                  <c:v>0.89063381894845028</c:v>
                </c:pt>
                <c:pt idx="160">
                  <c:v>0.89058167198461757</c:v>
                </c:pt>
                <c:pt idx="161">
                  <c:v>0.89053107755426686</c:v>
                </c:pt>
                <c:pt idx="162">
                  <c:v>0.89048198978323168</c:v>
                </c:pt>
                <c:pt idx="163">
                  <c:v>0.89043436413209198</c:v>
                </c:pt>
                <c:pt idx="164">
                  <c:v>0.89038815735858312</c:v>
                </c:pt>
                <c:pt idx="165">
                  <c:v>0.89034332748098777</c:v>
                </c:pt>
                <c:pt idx="166">
                  <c:v>0.89029983374248933</c:v>
                </c:pt>
                <c:pt idx="167">
                  <c:v>0.89025763657646739</c:v>
                </c:pt>
                <c:pt idx="168">
                  <c:v>0.89021669757271249</c:v>
                </c:pt>
                <c:pt idx="169">
                  <c:v>0.8901769794445421</c:v>
                </c:pt>
                <c:pt idx="170">
                  <c:v>0.89013844599679537</c:v>
                </c:pt>
                <c:pt idx="171">
                  <c:v>0.89010106209468753</c:v>
                </c:pt>
                <c:pt idx="172">
                  <c:v>0.89006479363350532</c:v>
                </c:pt>
                <c:pt idx="173">
                  <c:v>0.89002960750912052</c:v>
                </c:pt>
                <c:pt idx="174">
                  <c:v>0.88999547158930625</c:v>
                </c:pt>
                <c:pt idx="175">
                  <c:v>0.88996235468583373</c:v>
                </c:pt>
                <c:pt idx="176">
                  <c:v>0.88993022652733278</c:v>
                </c:pt>
                <c:pt idx="177">
                  <c:v>0.88989905773289624</c:v>
                </c:pt>
                <c:pt idx="178">
                  <c:v>0.88986881978641108</c:v>
                </c:pt>
                <c:pt idx="179">
                  <c:v>0.88983948501159726</c:v>
                </c:pt>
                <c:pt idx="180">
                  <c:v>0.88981102654773814</c:v>
                </c:pt>
                <c:pt idx="181">
                  <c:v>0.88978341832608321</c:v>
                </c:pt>
                <c:pt idx="182">
                  <c:v>0.88975663504690872</c:v>
                </c:pt>
                <c:pt idx="183">
                  <c:v>0.88973065215721636</c:v>
                </c:pt>
                <c:pt idx="184">
                  <c:v>0.88970544582905764</c:v>
                </c:pt>
                <c:pt idx="185">
                  <c:v>0.88968099293846292</c:v>
                </c:pt>
                <c:pt idx="186">
                  <c:v>0.88965727104496539</c:v>
                </c:pt>
                <c:pt idx="187">
                  <c:v>0.88963425837169852</c:v>
                </c:pt>
                <c:pt idx="188">
                  <c:v>0.88961193378605707</c:v>
                </c:pt>
                <c:pt idx="189">
                  <c:v>0.8895902767809033</c:v>
                </c:pt>
                <c:pt idx="190">
                  <c:v>0.88956926745630593</c:v>
                </c:pt>
                <c:pt idx="191">
                  <c:v>0.88954888650179775</c:v>
                </c:pt>
                <c:pt idx="192">
                  <c:v>0.88952911517913613</c:v>
                </c:pt>
                <c:pt idx="193">
                  <c:v>0.889509935305556</c:v>
                </c:pt>
                <c:pt idx="194">
                  <c:v>0.8894913292374993</c:v>
                </c:pt>
                <c:pt idx="195">
                  <c:v>0.88947327985480973</c:v>
                </c:pt>
                <c:pt idx="196">
                  <c:v>0.88945577054537961</c:v>
                </c:pt>
                <c:pt idx="197">
                  <c:v>0.88943878519023722</c:v>
                </c:pt>
                <c:pt idx="198">
                  <c:v>0.88942230814906109</c:v>
                </c:pt>
                <c:pt idx="199">
                  <c:v>0.88940632424611132</c:v>
                </c:pt>
                <c:pt idx="200">
                  <c:v>0.88939081875656623</c:v>
                </c:pt>
                <c:pt idx="201">
                  <c:v>0.88937577739325124</c:v>
                </c:pt>
                <c:pt idx="202">
                  <c:v>0.88936118629375216</c:v>
                </c:pt>
                <c:pt idx="203">
                  <c:v>0.88934703200790022</c:v>
                </c:pt>
                <c:pt idx="204">
                  <c:v>0.88933330148561895</c:v>
                </c:pt>
                <c:pt idx="205">
                  <c:v>0.88931998206512286</c:v>
                </c:pt>
                <c:pt idx="206">
                  <c:v>0.88930706146145899</c:v>
                </c:pt>
                <c:pt idx="207">
                  <c:v>0.88929452775538009</c:v>
                </c:pt>
                <c:pt idx="208">
                  <c:v>0.88928236938254168</c:v>
                </c:pt>
                <c:pt idx="209">
                  <c:v>0.88927057512301289</c:v>
                </c:pt>
                <c:pt idx="210">
                  <c:v>0.88925913409109292</c:v>
                </c:pt>
                <c:pt idx="211">
                  <c:v>0.88924803572542377</c:v>
                </c:pt>
                <c:pt idx="212">
                  <c:v>0.88923726977939244</c:v>
                </c:pt>
                <c:pt idx="213">
                  <c:v>0.88922682631181116</c:v>
                </c:pt>
                <c:pt idx="214">
                  <c:v>0.88921669567787265</c:v>
                </c:pt>
                <c:pt idx="215">
                  <c:v>0.88920686852036712</c:v>
                </c:pt>
                <c:pt idx="216">
                  <c:v>0.88919733576115845</c:v>
                </c:pt>
                <c:pt idx="217">
                  <c:v>0.88918808859290877</c:v>
                </c:pt>
                <c:pt idx="218">
                  <c:v>0.88917911847104547</c:v>
                </c:pt>
                <c:pt idx="219">
                  <c:v>0.88917041710596512</c:v>
                </c:pt>
                <c:pt idx="220">
                  <c:v>0.88916197645546413</c:v>
                </c:pt>
                <c:pt idx="221">
                  <c:v>0.88915378871739392</c:v>
                </c:pt>
                <c:pt idx="222">
                  <c:v>0.88914584632253035</c:v>
                </c:pt>
                <c:pt idx="223">
                  <c:v>0.88913814192765306</c:v>
                </c:pt>
                <c:pt idx="224">
                  <c:v>0.88913066840882959</c:v>
                </c:pt>
                <c:pt idx="225">
                  <c:v>0.88912341885489554</c:v>
                </c:pt>
                <c:pt idx="226">
                  <c:v>0.88911638656112812</c:v>
                </c:pt>
                <c:pt idx="227">
                  <c:v>0.88910956502310567</c:v>
                </c:pt>
                <c:pt idx="228">
                  <c:v>0.88910294793074818</c:v>
                </c:pt>
                <c:pt idx="229">
                  <c:v>0.88909652916253368</c:v>
                </c:pt>
                <c:pt idx="230">
                  <c:v>0.88909030277988599</c:v>
                </c:pt>
                <c:pt idx="231">
                  <c:v>0.88908426302172694</c:v>
                </c:pt>
                <c:pt idx="232">
                  <c:v>0.88907840429919116</c:v>
                </c:pt>
                <c:pt idx="233">
                  <c:v>0.88907272119049585</c:v>
                </c:pt>
                <c:pt idx="234">
                  <c:v>0.88906720843596276</c:v>
                </c:pt>
                <c:pt idx="235">
                  <c:v>0.88906186093318784</c:v>
                </c:pt>
                <c:pt idx="236">
                  <c:v>0.8890566737323532</c:v>
                </c:pt>
                <c:pt idx="237">
                  <c:v>0.88905164203167841</c:v>
                </c:pt>
                <c:pt idx="238">
                  <c:v>0.88904676117300629</c:v>
                </c:pt>
                <c:pt idx="239">
                  <c:v>0.88904202663751974</c:v>
                </c:pt>
                <c:pt idx="240">
                  <c:v>0.8890374340415852</c:v>
                </c:pt>
                <c:pt idx="241">
                  <c:v>0.88903297913272017</c:v>
                </c:pt>
                <c:pt idx="242">
                  <c:v>0.8890286577856793</c:v>
                </c:pt>
                <c:pt idx="243">
                  <c:v>0.88902446599865736</c:v>
                </c:pt>
                <c:pt idx="244">
                  <c:v>0.88902039988960513</c:v>
                </c:pt>
                <c:pt idx="245">
                  <c:v>0.88901645569265386</c:v>
                </c:pt>
                <c:pt idx="246">
                  <c:v>0.88901262975464668</c:v>
                </c:pt>
                <c:pt idx="247">
                  <c:v>0.88900891853177288</c:v>
                </c:pt>
                <c:pt idx="248">
                  <c:v>0.88900531858630216</c:v>
                </c:pt>
                <c:pt idx="249">
                  <c:v>0.88900182658341598</c:v>
                </c:pt>
                <c:pt idx="250">
                  <c:v>0.88899843928813349</c:v>
                </c:pt>
                <c:pt idx="251">
                  <c:v>0.88899515356232828</c:v>
                </c:pt>
                <c:pt idx="252">
                  <c:v>0.88899196636183442</c:v>
                </c:pt>
                <c:pt idx="253">
                  <c:v>0.88898887473363863</c:v>
                </c:pt>
                <c:pt idx="254">
                  <c:v>0.88898587581315547</c:v>
                </c:pt>
                <c:pt idx="255">
                  <c:v>0.88898296682158473</c:v>
                </c:pt>
                <c:pt idx="256">
                  <c:v>0.88898014506334611</c:v>
                </c:pt>
                <c:pt idx="257">
                  <c:v>0.88897740792359192</c:v>
                </c:pt>
                <c:pt idx="258">
                  <c:v>0.88897475286579253</c:v>
                </c:pt>
                <c:pt idx="259">
                  <c:v>0.88897217742939449</c:v>
                </c:pt>
                <c:pt idx="260">
                  <c:v>0.88896967922754855</c:v>
                </c:pt>
                <c:pt idx="261">
                  <c:v>0.88896725594490478</c:v>
                </c:pt>
                <c:pt idx="262">
                  <c:v>0.88896490533547401</c:v>
                </c:pt>
                <c:pt idx="263">
                  <c:v>0.88896262522055336</c:v>
                </c:pt>
                <c:pt idx="264">
                  <c:v>0.88896041348671218</c:v>
                </c:pt>
                <c:pt idx="265">
                  <c:v>0.88895826808384037</c:v>
                </c:pt>
                <c:pt idx="266">
                  <c:v>0.88895618702325241</c:v>
                </c:pt>
                <c:pt idx="267">
                  <c:v>0.88895416837585017</c:v>
                </c:pt>
                <c:pt idx="268">
                  <c:v>0.88895221027033933</c:v>
                </c:pt>
                <c:pt idx="269">
                  <c:v>0.88895031089149912</c:v>
                </c:pt>
                <c:pt idx="270">
                  <c:v>0.88894846847850417</c:v>
                </c:pt>
                <c:pt idx="271">
                  <c:v>0.88894668132329646</c:v>
                </c:pt>
                <c:pt idx="272">
                  <c:v>0.88894494776900546</c:v>
                </c:pt>
                <c:pt idx="273">
                  <c:v>0.88894326620841557</c:v>
                </c:pt>
                <c:pt idx="274">
                  <c:v>0.8889416350824797</c:v>
                </c:pt>
                <c:pt idx="275">
                  <c:v>0.88894005287887734</c:v>
                </c:pt>
                <c:pt idx="276">
                  <c:v>0.88893851813061464</c:v>
                </c:pt>
                <c:pt idx="277">
                  <c:v>0.8889370294146679</c:v>
                </c:pt>
                <c:pt idx="278">
                  <c:v>0.88893558535066641</c:v>
                </c:pt>
                <c:pt idx="279">
                  <c:v>0.88893418459961526</c:v>
                </c:pt>
                <c:pt idx="280">
                  <c:v>0.8889328258626561</c:v>
                </c:pt>
                <c:pt idx="281">
                  <c:v>0.88893150787986486</c:v>
                </c:pt>
                <c:pt idx="282">
                  <c:v>0.88893022942908584</c:v>
                </c:pt>
                <c:pt idx="283">
                  <c:v>0.88892898932480024</c:v>
                </c:pt>
                <c:pt idx="284">
                  <c:v>0.88892778641702863</c:v>
                </c:pt>
                <c:pt idx="285">
                  <c:v>0.88892661959026675</c:v>
                </c:pt>
                <c:pt idx="286">
                  <c:v>0.88892548776245184</c:v>
                </c:pt>
                <c:pt idx="287">
                  <c:v>0.88892438988396172</c:v>
                </c:pt>
                <c:pt idx="288">
                  <c:v>0.88892332493664228</c:v>
                </c:pt>
                <c:pt idx="289">
                  <c:v>0.88892229193286476</c:v>
                </c:pt>
                <c:pt idx="290">
                  <c:v>0.88892128991461106</c:v>
                </c:pt>
                <c:pt idx="291">
                  <c:v>0.88892031795258686</c:v>
                </c:pt>
                <c:pt idx="292">
                  <c:v>0.88891937514536046</c:v>
                </c:pt>
                <c:pt idx="293">
                  <c:v>0.88891846061852797</c:v>
                </c:pt>
                <c:pt idx="294">
                  <c:v>0.88891757352390355</c:v>
                </c:pt>
                <c:pt idx="295">
                  <c:v>0.88891671303873343</c:v>
                </c:pt>
                <c:pt idx="296">
                  <c:v>0.88891587836493413</c:v>
                </c:pt>
                <c:pt idx="297">
                  <c:v>0.88891506872835269</c:v>
                </c:pt>
                <c:pt idx="298">
                  <c:v>0.88891428337804967</c:v>
                </c:pt>
                <c:pt idx="299">
                  <c:v>0.88891352158560322</c:v>
                </c:pt>
                <c:pt idx="300">
                  <c:v>0.88891278264443452</c:v>
                </c:pt>
                <c:pt idx="301">
                  <c:v>0.88891206586915272</c:v>
                </c:pt>
                <c:pt idx="302">
                  <c:v>0.88891137059491987</c:v>
                </c:pt>
                <c:pt idx="303">
                  <c:v>0.88891069617683516</c:v>
                </c:pt>
                <c:pt idx="304">
                  <c:v>0.88891004198933699</c:v>
                </c:pt>
                <c:pt idx="305">
                  <c:v>0.88890940742562341</c:v>
                </c:pt>
                <c:pt idx="306">
                  <c:v>0.88890879189708971</c:v>
                </c:pt>
                <c:pt idx="307">
                  <c:v>0.88890819483278261</c:v>
                </c:pt>
                <c:pt idx="308">
                  <c:v>0.88890761567887178</c:v>
                </c:pt>
                <c:pt idx="309">
                  <c:v>0.88890705389813585</c:v>
                </c:pt>
                <c:pt idx="310">
                  <c:v>0.88890650896946499</c:v>
                </c:pt>
                <c:pt idx="311">
                  <c:v>0.88890598038737723</c:v>
                </c:pt>
                <c:pt idx="312">
                  <c:v>0.88890546766155054</c:v>
                </c:pt>
                <c:pt idx="313">
                  <c:v>0.88890497031636828</c:v>
                </c:pt>
                <c:pt idx="314">
                  <c:v>0.88890448789047782</c:v>
                </c:pt>
                <c:pt idx="315">
                  <c:v>0.88890401993636337</c:v>
                </c:pt>
                <c:pt idx="316">
                  <c:v>0.88890356601993059</c:v>
                </c:pt>
                <c:pt idx="317">
                  <c:v>0.88890312572010477</c:v>
                </c:pt>
                <c:pt idx="318">
                  <c:v>0.88890269862844018</c:v>
                </c:pt>
                <c:pt idx="319">
                  <c:v>0.88890228434874119</c:v>
                </c:pt>
                <c:pt idx="320">
                  <c:v>0.88890188249669511</c:v>
                </c:pt>
                <c:pt idx="321">
                  <c:v>0.88890149269951602</c:v>
                </c:pt>
                <c:pt idx="322">
                  <c:v>0.88890111459559895</c:v>
                </c:pt>
                <c:pt idx="323">
                  <c:v>0.8889007478341846</c:v>
                </c:pt>
                <c:pt idx="324">
                  <c:v>0.88890039207503435</c:v>
                </c:pt>
                <c:pt idx="325">
                  <c:v>0.88890004698811442</c:v>
                </c:pt>
                <c:pt idx="326">
                  <c:v>0.8888997122532899</c:v>
                </c:pt>
                <c:pt idx="327">
                  <c:v>0.8888993875600284</c:v>
                </c:pt>
                <c:pt idx="328">
                  <c:v>0.88889907260711143</c:v>
                </c:pt>
                <c:pt idx="329">
                  <c:v>0.88889876710235538</c:v>
                </c:pt>
                <c:pt idx="330">
                  <c:v>0.88889847076234074</c:v>
                </c:pt>
                <c:pt idx="331">
                  <c:v>0.88889818331214887</c:v>
                </c:pt>
                <c:pt idx="332">
                  <c:v>0.88889790448510753</c:v>
                </c:pt>
                <c:pt idx="333">
                  <c:v>0.88889763402254318</c:v>
                </c:pt>
                <c:pt idx="334">
                  <c:v>0.8888973716735411</c:v>
                </c:pt>
                <c:pt idx="335">
                  <c:v>0.8888971171947132</c:v>
                </c:pt>
                <c:pt idx="336">
                  <c:v>0.88889687034997167</c:v>
                </c:pt>
                <c:pt idx="337">
                  <c:v>0.88889663091031046</c:v>
                </c:pt>
                <c:pt idx="338">
                  <c:v>0.88889639865359249</c:v>
                </c:pt>
                <c:pt idx="339">
                  <c:v>0.88889617336434412</c:v>
                </c:pt>
                <c:pt idx="340">
                  <c:v>0.88889595483355499</c:v>
                </c:pt>
                <c:pt idx="341">
                  <c:v>0.88889574285848416</c:v>
                </c:pt>
                <c:pt idx="342">
                  <c:v>0.88889553724247228</c:v>
                </c:pt>
                <c:pt idx="343">
                  <c:v>0.88889533779475893</c:v>
                </c:pt>
                <c:pt idx="344">
                  <c:v>0.88889514433030603</c:v>
                </c:pt>
                <c:pt idx="345">
                  <c:v>0.8888949566696257</c:v>
                </c:pt>
                <c:pt idx="346">
                  <c:v>0.88889477463861433</c:v>
                </c:pt>
                <c:pt idx="347">
                  <c:v>0.88889459806839088</c:v>
                </c:pt>
                <c:pt idx="348">
                  <c:v>0.88889442679514008</c:v>
                </c:pt>
                <c:pt idx="349">
                  <c:v>0.88889426065996069</c:v>
                </c:pt>
                <c:pt idx="350">
                  <c:v>0.88889409950871801</c:v>
                </c:pt>
                <c:pt idx="351">
                  <c:v>0.88889394319190096</c:v>
                </c:pt>
                <c:pt idx="352">
                  <c:v>0.88889379156448334</c:v>
                </c:pt>
                <c:pt idx="353">
                  <c:v>0.88889364448578934</c:v>
                </c:pt>
                <c:pt idx="354">
                  <c:v>0.88889350181936322</c:v>
                </c:pt>
                <c:pt idx="355">
                  <c:v>0.88889336343284231</c:v>
                </c:pt>
                <c:pt idx="356">
                  <c:v>0.88889322919783464</c:v>
                </c:pt>
                <c:pt idx="357">
                  <c:v>0.88889309898979985</c:v>
                </c:pt>
                <c:pt idx="358">
                  <c:v>0.8888929726879331</c:v>
                </c:pt>
                <c:pt idx="359">
                  <c:v>0.88889285017505382</c:v>
                </c:pt>
                <c:pt idx="360">
                  <c:v>0.88889273133749636</c:v>
                </c:pt>
                <c:pt idx="361">
                  <c:v>0.88889261606500491</c:v>
                </c:pt>
                <c:pt idx="362">
                  <c:v>0.88889250425063115</c:v>
                </c:pt>
                <c:pt idx="363">
                  <c:v>0.88889239579063473</c:v>
                </c:pt>
                <c:pt idx="364">
                  <c:v>0.88889229058438768</c:v>
                </c:pt>
                <c:pt idx="365">
                  <c:v>0.88889218853428043</c:v>
                </c:pt>
                <c:pt idx="366">
                  <c:v>0.88889208954563159</c:v>
                </c:pt>
                <c:pt idx="367">
                  <c:v>0.8888919935266002</c:v>
                </c:pt>
                <c:pt idx="368">
                  <c:v>0.88889190038809995</c:v>
                </c:pt>
                <c:pt idx="369">
                  <c:v>0.88889181004371753</c:v>
                </c:pt>
                <c:pt idx="370">
                  <c:v>0.88889172240963144</c:v>
                </c:pt>
                <c:pt idx="371">
                  <c:v>0.88889163740453492</c:v>
                </c:pt>
                <c:pt idx="372">
                  <c:v>0.88889155494956029</c:v>
                </c:pt>
                <c:pt idx="373">
                  <c:v>0.88889147496820553</c:v>
                </c:pt>
                <c:pt idx="374">
                  <c:v>0.88889139738626399</c:v>
                </c:pt>
                <c:pt idx="375">
                  <c:v>0.88889132213175492</c:v>
                </c:pt>
                <c:pt idx="376">
                  <c:v>0.88889124913485662</c:v>
                </c:pt>
                <c:pt idx="377">
                  <c:v>0.88889117832784237</c:v>
                </c:pt>
                <c:pt idx="378">
                  <c:v>0.88889110964501705</c:v>
                </c:pt>
                <c:pt idx="379">
                  <c:v>0.8888910430226562</c:v>
                </c:pt>
                <c:pt idx="380">
                  <c:v>0.88889097839894715</c:v>
                </c:pt>
                <c:pt idx="381">
                  <c:v>0.88889091571393131</c:v>
                </c:pt>
                <c:pt idx="382">
                  <c:v>0.88889085490944908</c:v>
                </c:pt>
                <c:pt idx="383">
                  <c:v>0.88889079592908538</c:v>
                </c:pt>
                <c:pt idx="384">
                  <c:v>0.88889073871811775</c:v>
                </c:pt>
                <c:pt idx="385">
                  <c:v>0.88889068322346498</c:v>
                </c:pt>
                <c:pt idx="386">
                  <c:v>0.8888906293936385</c:v>
                </c:pt>
                <c:pt idx="387">
                  <c:v>0.88889057717869446</c:v>
                </c:pt>
                <c:pt idx="388">
                  <c:v>0.88889052653018696</c:v>
                </c:pt>
                <c:pt idx="389">
                  <c:v>0.8888904774011237</c:v>
                </c:pt>
                <c:pt idx="390">
                  <c:v>0.88889042974592203</c:v>
                </c:pt>
                <c:pt idx="391">
                  <c:v>0.88889038352036653</c:v>
                </c:pt>
                <c:pt idx="392">
                  <c:v>0.88889033868156853</c:v>
                </c:pt>
                <c:pt idx="393">
                  <c:v>0.88889029518792584</c:v>
                </c:pt>
                <c:pt idx="394">
                  <c:v>0.88889025299908431</c:v>
                </c:pt>
                <c:pt idx="395">
                  <c:v>0.88889021207590035</c:v>
                </c:pt>
                <c:pt idx="396">
                  <c:v>0.88889017238040469</c:v>
                </c:pt>
                <c:pt idx="397">
                  <c:v>0.88889013387576721</c:v>
                </c:pt>
                <c:pt idx="398">
                  <c:v>0.88889009652626239</c:v>
                </c:pt>
                <c:pt idx="399">
                  <c:v>0.88889006029723672</c:v>
                </c:pt>
                <c:pt idx="400">
                  <c:v>0.8888900251550762</c:v>
                </c:pt>
                <c:pt idx="401">
                  <c:v>0.88888999106717526</c:v>
                </c:pt>
                <c:pt idx="402">
                  <c:v>0.88888995800190629</c:v>
                </c:pt>
                <c:pt idx="403">
                  <c:v>0.88888992592859062</c:v>
                </c:pt>
                <c:pt idx="404">
                  <c:v>0.88888989481747016</c:v>
                </c:pt>
                <c:pt idx="405">
                  <c:v>0.88888986463967901</c:v>
                </c:pt>
                <c:pt idx="406">
                  <c:v>0.88888983536721766</c:v>
                </c:pt>
                <c:pt idx="407">
                  <c:v>0.88888980697292652</c:v>
                </c:pt>
                <c:pt idx="408">
                  <c:v>0.88888977943046066</c:v>
                </c:pt>
                <c:pt idx="409">
                  <c:v>0.88888975271426562</c:v>
                </c:pt>
                <c:pt idx="410">
                  <c:v>0.88888972679955325</c:v>
                </c:pt>
                <c:pt idx="411">
                  <c:v>0.88888970166227932</c:v>
                </c:pt>
                <c:pt idx="412">
                  <c:v>0.88888967727912094</c:v>
                </c:pt>
                <c:pt idx="413">
                  <c:v>0.88888965362745476</c:v>
                </c:pt>
                <c:pt idx="414">
                  <c:v>0.88888963068533611</c:v>
                </c:pt>
                <c:pt idx="415">
                  <c:v>0.88888960843147879</c:v>
                </c:pt>
                <c:pt idx="416">
                  <c:v>0.88888958684523511</c:v>
                </c:pt>
                <c:pt idx="417">
                  <c:v>0.88888956590657675</c:v>
                </c:pt>
                <c:pt idx="418">
                  <c:v>0.88888954559607614</c:v>
                </c:pt>
                <c:pt idx="419">
                  <c:v>0.88888952589488879</c:v>
                </c:pt>
                <c:pt idx="420">
                  <c:v>0.88888950678473555</c:v>
                </c:pt>
                <c:pt idx="421">
                  <c:v>0.88888948824788516</c:v>
                </c:pt>
                <c:pt idx="422">
                  <c:v>0.88888947026713883</c:v>
                </c:pt>
                <c:pt idx="423">
                  <c:v>0.88888945282581355</c:v>
                </c:pt>
                <c:pt idx="424">
                  <c:v>0.88888943590772673</c:v>
                </c:pt>
                <c:pt idx="425">
                  <c:v>0.88888941949718125</c:v>
                </c:pt>
                <c:pt idx="426">
                  <c:v>0.88888940357895097</c:v>
                </c:pt>
                <c:pt idx="427">
                  <c:v>0.88888938813826657</c:v>
                </c:pt>
                <c:pt idx="428">
                  <c:v>0.88888937316080163</c:v>
                </c:pt>
                <c:pt idx="429">
                  <c:v>0.88888935863265972</c:v>
                </c:pt>
                <c:pt idx="430">
                  <c:v>0.88888934454036106</c:v>
                </c:pt>
                <c:pt idx="431">
                  <c:v>0.88888933087083055</c:v>
                </c:pt>
                <c:pt idx="432">
                  <c:v>0.88888931761138523</c:v>
                </c:pt>
                <c:pt idx="433">
                  <c:v>0.88888930474972239</c:v>
                </c:pt>
                <c:pt idx="434">
                  <c:v>0.88888929227390878</c:v>
                </c:pt>
                <c:pt idx="435">
                  <c:v>0.8888892801723689</c:v>
                </c:pt>
                <c:pt idx="436">
                  <c:v>0.88888926843387472</c:v>
                </c:pt>
                <c:pt idx="437">
                  <c:v>0.88888925704753463</c:v>
                </c:pt>
                <c:pt idx="438">
                  <c:v>0.88888924600278418</c:v>
                </c:pt>
                <c:pt idx="439">
                  <c:v>0.8888892352893758</c:v>
                </c:pt>
                <c:pt idx="440">
                  <c:v>0.8888892248973691</c:v>
                </c:pt>
                <c:pt idx="441">
                  <c:v>0.88888921481712213</c:v>
                </c:pt>
                <c:pt idx="442">
                  <c:v>0.88888920503928226</c:v>
                </c:pt>
                <c:pt idx="443">
                  <c:v>0.88888919555477708</c:v>
                </c:pt>
                <c:pt idx="444">
                  <c:v>0.88888918635480663</c:v>
                </c:pt>
                <c:pt idx="445">
                  <c:v>0.88888917743083495</c:v>
                </c:pt>
                <c:pt idx="446">
                  <c:v>0.88888916877458213</c:v>
                </c:pt>
                <c:pt idx="447">
                  <c:v>0.88888916037801646</c:v>
                </c:pt>
                <c:pt idx="448">
                  <c:v>0.88888915223334763</c:v>
                </c:pt>
                <c:pt idx="449">
                  <c:v>0.88888914433301847</c:v>
                </c:pt>
                <c:pt idx="450">
                  <c:v>0.88888913666969893</c:v>
                </c:pt>
                <c:pt idx="451">
                  <c:v>0.88888912923627872</c:v>
                </c:pt>
                <c:pt idx="452">
                  <c:v>0.8888891220258609</c:v>
                </c:pt>
                <c:pt idx="453">
                  <c:v>0.88888911503175538</c:v>
                </c:pt>
                <c:pt idx="454">
                  <c:v>0.8888891082474728</c:v>
                </c:pt>
                <c:pt idx="455">
                  <c:v>0.88888910166671853</c:v>
                </c:pt>
                <c:pt idx="456">
                  <c:v>0.88888909528338667</c:v>
                </c:pt>
                <c:pt idx="457">
                  <c:v>0.88888908909155462</c:v>
                </c:pt>
                <c:pt idx="458">
                  <c:v>0.88888908308547743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65-4146-902A-7D17D40DD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105104"/>
        <c:axId val="1676325584"/>
      </c:scatterChart>
      <c:valAx>
        <c:axId val="1666105104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325584"/>
        <c:crosses val="autoZero"/>
        <c:crossBetween val="midCat"/>
      </c:valAx>
      <c:valAx>
        <c:axId val="1676325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6105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27</xdr:col>
      <xdr:colOff>304800</xdr:colOff>
      <xdr:row>35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50EC1DF-6BCB-4283-856D-4275753EC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27</xdr:col>
      <xdr:colOff>304800</xdr:colOff>
      <xdr:row>35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A3F81A-C8E6-4CBB-A1E5-DF73818B8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2E75-CCB0-4991-BA55-9A90943E84B4}">
  <dimension ref="A1:J719"/>
  <sheetViews>
    <sheetView showGridLines="0" topLeftCell="A15" workbookViewId="0"/>
  </sheetViews>
  <sheetFormatPr defaultRowHeight="15.75" customHeight="1" x14ac:dyDescent="0.25"/>
  <cols>
    <col min="1" max="1" width="9.140625" style="6"/>
    <col min="2" max="4" width="9.140625" style="1"/>
    <col min="5" max="5" width="2.28515625" style="1" customWidth="1"/>
    <col min="6" max="10" width="9.140625" style="4"/>
    <col min="11" max="16384" width="9.140625" style="1"/>
  </cols>
  <sheetData>
    <row r="1" spans="1:10" s="6" customFormat="1" ht="21" customHeight="1" x14ac:dyDescent="0.25">
      <c r="B1" s="7" t="s">
        <v>1</v>
      </c>
      <c r="C1" s="7" t="s">
        <v>0</v>
      </c>
      <c r="D1" s="7" t="s">
        <v>6</v>
      </c>
      <c r="F1" s="7" t="s">
        <v>7</v>
      </c>
      <c r="G1" s="7" t="s">
        <v>0</v>
      </c>
      <c r="H1" s="7" t="s">
        <v>1</v>
      </c>
      <c r="I1" s="7" t="s">
        <v>2</v>
      </c>
      <c r="J1" s="7" t="s">
        <v>8</v>
      </c>
    </row>
    <row r="2" spans="1:10" ht="15.75" customHeight="1" x14ac:dyDescent="0.25">
      <c r="B2" s="2">
        <v>1</v>
      </c>
      <c r="C2" s="2">
        <v>0</v>
      </c>
      <c r="D2" s="2">
        <v>0</v>
      </c>
      <c r="F2" s="2">
        <v>0</v>
      </c>
      <c r="G2" s="3">
        <v>1</v>
      </c>
      <c r="H2" s="3">
        <v>0</v>
      </c>
      <c r="I2" s="3">
        <v>0</v>
      </c>
      <c r="J2" s="3">
        <f>1-I2</f>
        <v>1</v>
      </c>
    </row>
    <row r="3" spans="1:10" ht="15.75" customHeight="1" x14ac:dyDescent="0.25">
      <c r="F3" s="2">
        <v>1</v>
      </c>
      <c r="G3" s="3">
        <f t="shared" ref="G3:G66" si="0">(G2*$B$5)+(H2*$B$6)+(I2*$B$7)</f>
        <v>0.98009999999999997</v>
      </c>
      <c r="H3" s="3">
        <f t="shared" ref="H3:H66" si="1">(G2*$C$5)+(H2*$C$6)+(I2*$C$7)</f>
        <v>1.9800000000000002E-2</v>
      </c>
      <c r="I3" s="3">
        <f t="shared" ref="I3:I66" si="2">(G2*$D$5)+(H2*$D$6)+(I2*$D$7)</f>
        <v>1E-4</v>
      </c>
      <c r="J3" s="3">
        <f t="shared" ref="J3:J66" si="3">1-I3</f>
        <v>0.99990000000000001</v>
      </c>
    </row>
    <row r="4" spans="1:10" ht="20.25" x14ac:dyDescent="0.25">
      <c r="A4" s="8"/>
      <c r="B4" s="9" t="s">
        <v>3</v>
      </c>
      <c r="C4" s="9" t="s">
        <v>4</v>
      </c>
      <c r="D4" s="9" t="s">
        <v>5</v>
      </c>
      <c r="F4" s="2">
        <v>2</v>
      </c>
      <c r="G4" s="3">
        <f t="shared" si="0"/>
        <v>0.96059600999999994</v>
      </c>
      <c r="H4" s="3">
        <f t="shared" si="1"/>
        <v>3.9007979999999998E-2</v>
      </c>
      <c r="I4" s="3">
        <f t="shared" si="2"/>
        <v>3.9601000000000003E-4</v>
      </c>
      <c r="J4" s="3">
        <f t="shared" si="3"/>
        <v>0.99960399</v>
      </c>
    </row>
    <row r="5" spans="1:10" ht="15.75" customHeight="1" x14ac:dyDescent="0.25">
      <c r="A5" s="7" t="s">
        <v>3</v>
      </c>
      <c r="B5" s="2">
        <f>(1-C10)^2</f>
        <v>0.98009999999999997</v>
      </c>
      <c r="C5" s="2">
        <f>(2*C10)*(1-C10)</f>
        <v>1.9800000000000002E-2</v>
      </c>
      <c r="D5" s="2">
        <f>C10^2</f>
        <v>1E-4</v>
      </c>
      <c r="F5" s="2">
        <v>3</v>
      </c>
      <c r="G5" s="3">
        <f t="shared" si="0"/>
        <v>0.94148014940099989</v>
      </c>
      <c r="H5" s="3">
        <f t="shared" si="1"/>
        <v>5.7637701198000005E-2</v>
      </c>
      <c r="I5" s="3">
        <f t="shared" si="2"/>
        <v>8.8214940099999996E-4</v>
      </c>
      <c r="J5" s="3">
        <f t="shared" si="3"/>
        <v>0.99911785059900005</v>
      </c>
    </row>
    <row r="6" spans="1:10" ht="15.75" customHeight="1" x14ac:dyDescent="0.25">
      <c r="A6" s="7" t="s">
        <v>4</v>
      </c>
      <c r="B6" s="2">
        <v>0</v>
      </c>
      <c r="C6" s="2">
        <f>1-C10</f>
        <v>0.99</v>
      </c>
      <c r="D6" s="2">
        <f>C10</f>
        <v>0.01</v>
      </c>
      <c r="F6" s="2">
        <v>4</v>
      </c>
      <c r="G6" s="3">
        <f t="shared" si="0"/>
        <v>0.92274469442791995</v>
      </c>
      <c r="H6" s="3">
        <f t="shared" si="1"/>
        <v>7.5702631144159802E-2</v>
      </c>
      <c r="I6" s="3">
        <f t="shared" si="2"/>
        <v>1.5526744279200999E-3</v>
      </c>
      <c r="J6" s="3">
        <f t="shared" si="3"/>
        <v>0.99844732557207994</v>
      </c>
    </row>
    <row r="7" spans="1:10" ht="15.75" customHeight="1" x14ac:dyDescent="0.25">
      <c r="A7" s="7" t="s">
        <v>5</v>
      </c>
      <c r="B7" s="2">
        <v>0</v>
      </c>
      <c r="C7" s="2">
        <v>0</v>
      </c>
      <c r="D7" s="2">
        <v>1</v>
      </c>
      <c r="F7" s="2">
        <v>5</v>
      </c>
      <c r="G7" s="3">
        <f t="shared" si="0"/>
        <v>0.9043820750088043</v>
      </c>
      <c r="H7" s="3">
        <f t="shared" si="1"/>
        <v>9.3215949782391019E-2</v>
      </c>
      <c r="I7" s="3">
        <f t="shared" si="2"/>
        <v>2.40197520880449E-3</v>
      </c>
      <c r="J7" s="3">
        <f t="shared" si="3"/>
        <v>0.99759802479119553</v>
      </c>
    </row>
    <row r="8" spans="1:10" ht="15.75" customHeight="1" x14ac:dyDescent="0.25">
      <c r="F8" s="2">
        <v>6</v>
      </c>
      <c r="G8" s="3">
        <f t="shared" si="0"/>
        <v>0.88638487171612912</v>
      </c>
      <c r="H8" s="3">
        <f t="shared" si="1"/>
        <v>0.11019055536974144</v>
      </c>
      <c r="I8" s="3">
        <f t="shared" si="2"/>
        <v>3.4245729141292808E-3</v>
      </c>
      <c r="J8" s="3">
        <f t="shared" si="3"/>
        <v>0.99657542708587077</v>
      </c>
    </row>
    <row r="9" spans="1:10" ht="15.75" customHeight="1" x14ac:dyDescent="0.25">
      <c r="F9" s="2">
        <v>7</v>
      </c>
      <c r="G9" s="3">
        <f t="shared" si="0"/>
        <v>0.86874581276897811</v>
      </c>
      <c r="H9" s="3">
        <f t="shared" si="1"/>
        <v>0.12663907027602339</v>
      </c>
      <c r="I9" s="3">
        <f t="shared" si="2"/>
        <v>4.6151169549983086E-3</v>
      </c>
      <c r="J9" s="3">
        <f t="shared" si="3"/>
        <v>0.99538488304500172</v>
      </c>
    </row>
    <row r="10" spans="1:10" ht="15.75" customHeight="1" x14ac:dyDescent="0.25">
      <c r="A10" s="10" t="s">
        <v>9</v>
      </c>
      <c r="B10" s="11"/>
      <c r="C10" s="2">
        <v>0.01</v>
      </c>
      <c r="F10" s="2">
        <v>8</v>
      </c>
      <c r="G10" s="3">
        <f t="shared" si="0"/>
        <v>0.85145777109487542</v>
      </c>
      <c r="H10" s="3">
        <f t="shared" si="1"/>
        <v>0.14257384666608891</v>
      </c>
      <c r="I10" s="3">
        <f t="shared" si="2"/>
        <v>5.9683822390354403E-3</v>
      </c>
      <c r="J10" s="3">
        <f t="shared" si="3"/>
        <v>0.9940316177609646</v>
      </c>
    </row>
    <row r="11" spans="1:10" ht="15.75" customHeight="1" x14ac:dyDescent="0.25">
      <c r="F11" s="2">
        <v>9</v>
      </c>
      <c r="G11" s="3">
        <f t="shared" si="0"/>
        <v>0.83451376145008738</v>
      </c>
      <c r="H11" s="3">
        <f t="shared" si="1"/>
        <v>0.15800697206710657</v>
      </c>
      <c r="I11" s="3">
        <f t="shared" si="2"/>
        <v>7.4792664828058171E-3</v>
      </c>
      <c r="J11" s="3">
        <f t="shared" si="3"/>
        <v>0.99252073351719416</v>
      </c>
    </row>
    <row r="12" spans="1:10" ht="15.75" customHeight="1" x14ac:dyDescent="0.25">
      <c r="F12" s="2">
        <v>10</v>
      </c>
      <c r="G12" s="3">
        <f t="shared" si="0"/>
        <v>0.81790693759723065</v>
      </c>
      <c r="H12" s="3">
        <f t="shared" si="1"/>
        <v>0.17295027482314723</v>
      </c>
      <c r="I12" s="3">
        <f t="shared" si="2"/>
        <v>9.1427875796218916E-3</v>
      </c>
      <c r="J12" s="3">
        <f t="shared" si="3"/>
        <v>0.99085721242037805</v>
      </c>
    </row>
    <row r="13" spans="1:10" ht="15.75" customHeight="1" x14ac:dyDescent="0.25">
      <c r="F13" s="2">
        <v>11</v>
      </c>
      <c r="G13" s="3">
        <f t="shared" si="0"/>
        <v>0.80163058953904576</v>
      </c>
      <c r="H13" s="3">
        <f t="shared" si="1"/>
        <v>0.18741532943934092</v>
      </c>
      <c r="I13" s="3">
        <f t="shared" si="2"/>
        <v>1.0954081021613087E-2</v>
      </c>
      <c r="J13" s="3">
        <f t="shared" si="3"/>
        <v>0.9890459189783869</v>
      </c>
    </row>
    <row r="14" spans="1:10" ht="15.75" customHeight="1" x14ac:dyDescent="0.25">
      <c r="F14" s="2">
        <v>12</v>
      </c>
      <c r="G14" s="3">
        <f t="shared" si="0"/>
        <v>0.78567814080721876</v>
      </c>
      <c r="H14" s="3">
        <f t="shared" si="1"/>
        <v>0.2014134618178206</v>
      </c>
      <c r="I14" s="3">
        <f t="shared" si="2"/>
        <v>1.2908397374960402E-2</v>
      </c>
      <c r="J14" s="3">
        <f t="shared" si="3"/>
        <v>0.98709160262503959</v>
      </c>
    </row>
    <row r="15" spans="1:10" ht="15.75" customHeight="1" x14ac:dyDescent="0.25">
      <c r="F15" s="2">
        <v>13</v>
      </c>
      <c r="G15" s="3">
        <f t="shared" si="0"/>
        <v>0.77004314580515509</v>
      </c>
      <c r="H15" s="3">
        <f t="shared" si="1"/>
        <v>0.21495575438762532</v>
      </c>
      <c r="I15" s="3">
        <f t="shared" si="2"/>
        <v>1.500109980721933E-2</v>
      </c>
      <c r="J15" s="3">
        <f t="shared" si="3"/>
        <v>0.98499890019278069</v>
      </c>
    </row>
    <row r="16" spans="1:10" ht="15.75" customHeight="1" x14ac:dyDescent="0.25">
      <c r="F16" s="2">
        <v>14</v>
      </c>
      <c r="G16" s="3">
        <f t="shared" si="0"/>
        <v>0.75471928720363246</v>
      </c>
      <c r="H16" s="3">
        <f t="shared" si="1"/>
        <v>0.22805305113069113</v>
      </c>
      <c r="I16" s="3">
        <f t="shared" si="2"/>
        <v>1.7227661665676099E-2</v>
      </c>
      <c r="J16" s="3">
        <f t="shared" si="3"/>
        <v>0.98277233833432387</v>
      </c>
    </row>
    <row r="17" spans="6:10" ht="15.75" customHeight="1" x14ac:dyDescent="0.25">
      <c r="F17" s="2">
        <v>15</v>
      </c>
      <c r="G17" s="3">
        <f t="shared" si="0"/>
        <v>0.73970037338828021</v>
      </c>
      <c r="H17" s="3">
        <f t="shared" si="1"/>
        <v>0.24071596250601615</v>
      </c>
      <c r="I17" s="3">
        <f t="shared" si="2"/>
        <v>1.9583664105703374E-2</v>
      </c>
      <c r="J17" s="3">
        <f t="shared" si="3"/>
        <v>0.98041633589429666</v>
      </c>
    </row>
    <row r="18" spans="6:10" ht="15.75" customHeight="1" x14ac:dyDescent="0.25">
      <c r="F18" s="2">
        <v>16</v>
      </c>
      <c r="G18" s="3">
        <f t="shared" si="0"/>
        <v>0.72498033595785338</v>
      </c>
      <c r="H18" s="3">
        <f t="shared" si="1"/>
        <v>0.25295487027404395</v>
      </c>
      <c r="I18" s="3">
        <f t="shared" si="2"/>
        <v>2.2064793768102362E-2</v>
      </c>
      <c r="J18" s="3">
        <f t="shared" si="3"/>
        <v>0.97793520623189767</v>
      </c>
    </row>
    <row r="19" spans="6:10" ht="15.75" customHeight="1" x14ac:dyDescent="0.25">
      <c r="F19" s="2">
        <v>17</v>
      </c>
      <c r="G19" s="3">
        <f t="shared" si="0"/>
        <v>0.71055322727229209</v>
      </c>
      <c r="H19" s="3">
        <f t="shared" si="1"/>
        <v>0.26477993222326895</v>
      </c>
      <c r="I19" s="3">
        <f t="shared" si="2"/>
        <v>2.4666840504438587E-2</v>
      </c>
      <c r="J19" s="3">
        <f t="shared" si="3"/>
        <v>0.97533315949556143</v>
      </c>
    </row>
    <row r="20" spans="6:10" ht="15.75" customHeight="1" x14ac:dyDescent="0.25">
      <c r="F20" s="2">
        <v>18</v>
      </c>
      <c r="G20" s="3">
        <f t="shared" si="0"/>
        <v>0.69641321804957346</v>
      </c>
      <c r="H20" s="3">
        <f t="shared" si="1"/>
        <v>0.27620108680102767</v>
      </c>
      <c r="I20" s="3">
        <f t="shared" si="2"/>
        <v>2.7385695149398506E-2</v>
      </c>
      <c r="J20" s="3">
        <f t="shared" si="3"/>
        <v>0.97261430485060152</v>
      </c>
    </row>
    <row r="21" spans="6:10" ht="15.75" customHeight="1" x14ac:dyDescent="0.25">
      <c r="F21" s="2">
        <v>19</v>
      </c>
      <c r="G21" s="3">
        <f t="shared" si="0"/>
        <v>0.68255459501038696</v>
      </c>
      <c r="H21" s="3">
        <f t="shared" si="1"/>
        <v>0.28722805765039899</v>
      </c>
      <c r="I21" s="3">
        <f t="shared" si="2"/>
        <v>3.0217347339213739E-2</v>
      </c>
      <c r="J21" s="3">
        <f t="shared" si="3"/>
        <v>0.96978265266078623</v>
      </c>
    </row>
    <row r="22" spans="6:10" ht="15.75" customHeight="1" x14ac:dyDescent="0.25">
      <c r="F22" s="2">
        <v>20</v>
      </c>
      <c r="G22" s="3">
        <f t="shared" si="0"/>
        <v>0.66897175856968027</v>
      </c>
      <c r="H22" s="3">
        <f t="shared" si="1"/>
        <v>0.29787035805510065</v>
      </c>
      <c r="I22" s="3">
        <f t="shared" si="2"/>
        <v>3.3157883375218765E-2</v>
      </c>
      <c r="J22" s="3">
        <f t="shared" si="3"/>
        <v>0.96684211662478126</v>
      </c>
    </row>
    <row r="23" spans="6:10" ht="15.75" customHeight="1" x14ac:dyDescent="0.25">
      <c r="F23" s="2">
        <v>21</v>
      </c>
      <c r="G23" s="3">
        <f t="shared" si="0"/>
        <v>0.65565922057414361</v>
      </c>
      <c r="H23" s="3">
        <f t="shared" si="1"/>
        <v>0.30813729529422929</v>
      </c>
      <c r="I23" s="3">
        <f t="shared" si="2"/>
        <v>3.6203484131626738E-2</v>
      </c>
      <c r="J23" s="3">
        <f t="shared" si="3"/>
        <v>0.96379651586837323</v>
      </c>
    </row>
    <row r="24" spans="6:10" ht="15.75" customHeight="1" x14ac:dyDescent="0.25">
      <c r="F24" s="2">
        <v>22</v>
      </c>
      <c r="G24" s="3">
        <f t="shared" si="0"/>
        <v>0.64261160208471813</v>
      </c>
      <c r="H24" s="3">
        <f t="shared" si="1"/>
        <v>0.31803797490865504</v>
      </c>
      <c r="I24" s="3">
        <f t="shared" si="2"/>
        <v>3.9350423006626445E-2</v>
      </c>
      <c r="J24" s="3">
        <f t="shared" si="3"/>
        <v>0.96064957699337361</v>
      </c>
    </row>
    <row r="25" spans="6:10" ht="15.75" customHeight="1" x14ac:dyDescent="0.25">
      <c r="F25" s="2">
        <v>23</v>
      </c>
      <c r="G25" s="3">
        <f t="shared" si="0"/>
        <v>0.62982363120323226</v>
      </c>
      <c r="H25" s="3">
        <f t="shared" si="1"/>
        <v>0.32758130488084591</v>
      </c>
      <c r="I25" s="3">
        <f t="shared" si="2"/>
        <v>4.2595063915921466E-2</v>
      </c>
      <c r="J25" s="3">
        <f t="shared" si="3"/>
        <v>0.95740493608407851</v>
      </c>
    </row>
    <row r="26" spans="6:10" ht="15.75" customHeight="1" x14ac:dyDescent="0.25">
      <c r="F26" s="2">
        <v>24</v>
      </c>
      <c r="G26" s="3">
        <f t="shared" si="0"/>
        <v>0.61729014094228796</v>
      </c>
      <c r="H26" s="3">
        <f t="shared" si="1"/>
        <v>0.33677599972986144</v>
      </c>
      <c r="I26" s="3">
        <f t="shared" si="2"/>
        <v>4.5933859327850247E-2</v>
      </c>
      <c r="J26" s="3">
        <f t="shared" si="3"/>
        <v>0.95406614067214979</v>
      </c>
    </row>
    <row r="27" spans="6:10" ht="15.75" customHeight="1" x14ac:dyDescent="0.25">
      <c r="F27" s="2">
        <v>25</v>
      </c>
      <c r="G27" s="3">
        <f t="shared" si="0"/>
        <v>0.60500606713753646</v>
      </c>
      <c r="H27" s="3">
        <f t="shared" si="1"/>
        <v>0.34563058452322015</v>
      </c>
      <c r="I27" s="3">
        <f t="shared" si="2"/>
        <v>4.9363348339243093E-2</v>
      </c>
      <c r="J27" s="3">
        <f t="shared" si="3"/>
        <v>0.95063665166075695</v>
      </c>
    </row>
    <row r="28" spans="6:10" ht="15.75" customHeight="1" x14ac:dyDescent="0.25">
      <c r="F28" s="2">
        <v>26</v>
      </c>
      <c r="G28" s="3">
        <f t="shared" si="0"/>
        <v>0.59296644640149943</v>
      </c>
      <c r="H28" s="3">
        <f t="shared" si="1"/>
        <v>0.35415339880731117</v>
      </c>
      <c r="I28" s="3">
        <f t="shared" si="2"/>
        <v>5.288015479118905E-2</v>
      </c>
      <c r="J28" s="3">
        <f t="shared" si="3"/>
        <v>0.94711984520881098</v>
      </c>
    </row>
    <row r="29" spans="6:10" ht="15.75" customHeight="1" x14ac:dyDescent="0.25">
      <c r="F29" s="2">
        <v>27</v>
      </c>
      <c r="G29" s="3">
        <f t="shared" si="0"/>
        <v>0.58116641411810954</v>
      </c>
      <c r="H29" s="3">
        <f t="shared" si="1"/>
        <v>0.36235260045798773</v>
      </c>
      <c r="I29" s="3">
        <f t="shared" si="2"/>
        <v>5.6480985423902313E-2</v>
      </c>
      <c r="J29" s="3">
        <f t="shared" si="3"/>
        <v>0.94351901457609766</v>
      </c>
    </row>
    <row r="30" spans="6:10" ht="15.75" customHeight="1" x14ac:dyDescent="0.25">
      <c r="F30" s="2">
        <v>28</v>
      </c>
      <c r="G30" s="3">
        <f t="shared" si="0"/>
        <v>0.56960120247715917</v>
      </c>
      <c r="H30" s="3">
        <f t="shared" si="1"/>
        <v>0.37023616945294641</v>
      </c>
      <c r="I30" s="3">
        <f t="shared" si="2"/>
        <v>6.0162628069894003E-2</v>
      </c>
      <c r="J30" s="3">
        <f t="shared" si="3"/>
        <v>0.93983737193010597</v>
      </c>
    </row>
    <row r="31" spans="6:10" ht="15.75" customHeight="1" x14ac:dyDescent="0.25">
      <c r="F31" s="2">
        <v>29</v>
      </c>
      <c r="G31" s="3">
        <f t="shared" si="0"/>
        <v>0.55826613854786367</v>
      </c>
      <c r="H31" s="3">
        <f t="shared" si="1"/>
        <v>0.37781191156746469</v>
      </c>
      <c r="I31" s="3">
        <f t="shared" si="2"/>
        <v>6.3921949884671189E-2</v>
      </c>
      <c r="J31" s="3">
        <f t="shared" si="3"/>
        <v>0.93607805011532885</v>
      </c>
    </row>
    <row r="32" spans="6:10" ht="15.75" customHeight="1" x14ac:dyDescent="0.25">
      <c r="F32" s="2">
        <v>30</v>
      </c>
      <c r="G32" s="3">
        <f t="shared" si="0"/>
        <v>0.54715664239076112</v>
      </c>
      <c r="H32" s="3">
        <f t="shared" si="1"/>
        <v>0.38508746199503774</v>
      </c>
      <c r="I32" s="3">
        <f t="shared" si="2"/>
        <v>6.7755895614200617E-2</v>
      </c>
      <c r="J32" s="3">
        <f t="shared" si="3"/>
        <v>0.93224410438579941</v>
      </c>
    </row>
    <row r="33" spans="6:10" ht="15.75" customHeight="1" x14ac:dyDescent="0.25">
      <c r="F33" s="2">
        <v>31</v>
      </c>
      <c r="G33" s="3">
        <f t="shared" si="0"/>
        <v>0.53626822520718498</v>
      </c>
      <c r="H33" s="3">
        <f t="shared" si="1"/>
        <v>0.39207028889442441</v>
      </c>
      <c r="I33" s="3">
        <f t="shared" si="2"/>
        <v>7.1661485898390068E-2</v>
      </c>
      <c r="J33" s="3">
        <f t="shared" si="3"/>
        <v>0.92833851410160995</v>
      </c>
    </row>
    <row r="34" spans="6:10" ht="15.75" customHeight="1" x14ac:dyDescent="0.25">
      <c r="F34" s="2">
        <v>32</v>
      </c>
      <c r="G34" s="3">
        <f t="shared" si="0"/>
        <v>0.52559648752556198</v>
      </c>
      <c r="H34" s="3">
        <f t="shared" si="1"/>
        <v>0.39876769686458241</v>
      </c>
      <c r="I34" s="3">
        <f t="shared" si="2"/>
        <v>7.5635815609855037E-2</v>
      </c>
      <c r="J34" s="3">
        <f t="shared" si="3"/>
        <v>0.92436418439014501</v>
      </c>
    </row>
    <row r="35" spans="6:10" ht="15.75" customHeight="1" x14ac:dyDescent="0.25">
      <c r="F35" s="2">
        <v>33</v>
      </c>
      <c r="G35" s="3">
        <f t="shared" si="0"/>
        <v>0.5151371174238033</v>
      </c>
      <c r="H35" s="3">
        <f t="shared" si="1"/>
        <v>0.40518683034894271</v>
      </c>
      <c r="I35" s="3">
        <f t="shared" si="2"/>
        <v>7.9676052227253422E-2</v>
      </c>
      <c r="J35" s="3">
        <f t="shared" si="3"/>
        <v>0.92032394777274662</v>
      </c>
    </row>
    <row r="36" spans="6:10" ht="15.75" customHeight="1" x14ac:dyDescent="0.25">
      <c r="F36" s="2">
        <v>34</v>
      </c>
      <c r="G36" s="3">
        <f t="shared" si="0"/>
        <v>0.50488588878706964</v>
      </c>
      <c r="H36" s="3">
        <f t="shared" si="1"/>
        <v>0.41133467697044462</v>
      </c>
      <c r="I36" s="3">
        <f t="shared" si="2"/>
        <v>8.3779434242485226E-2</v>
      </c>
      <c r="J36" s="3">
        <f t="shared" si="3"/>
        <v>0.91622056575751476</v>
      </c>
    </row>
    <row r="37" spans="6:10" ht="15.75" customHeight="1" x14ac:dyDescent="0.25">
      <c r="F37" s="2">
        <v>35</v>
      </c>
      <c r="G37" s="3">
        <f t="shared" si="0"/>
        <v>0.49483865960020695</v>
      </c>
      <c r="H37" s="3">
        <f t="shared" si="1"/>
        <v>0.41721807079872419</v>
      </c>
      <c r="I37" s="3">
        <f t="shared" si="2"/>
        <v>8.794326960106838E-2</v>
      </c>
      <c r="J37" s="3">
        <f t="shared" si="3"/>
        <v>0.91205673039893165</v>
      </c>
    </row>
    <row r="38" spans="6:10" ht="15.75" customHeight="1" x14ac:dyDescent="0.25">
      <c r="F38" s="2">
        <v>36</v>
      </c>
      <c r="G38" s="3">
        <f t="shared" si="0"/>
        <v>0.48499137027416284</v>
      </c>
      <c r="H38" s="3">
        <f t="shared" si="1"/>
        <v>0.42284369555082102</v>
      </c>
      <c r="I38" s="3">
        <f t="shared" si="2"/>
        <v>9.2164934175015645E-2</v>
      </c>
      <c r="J38" s="3">
        <f t="shared" si="3"/>
        <v>0.9078350658249843</v>
      </c>
    </row>
    <row r="39" spans="6:10" ht="15.75" customHeight="1" x14ac:dyDescent="0.25">
      <c r="F39" s="2">
        <v>37</v>
      </c>
      <c r="G39" s="3">
        <f t="shared" si="0"/>
        <v>0.47534004200570701</v>
      </c>
      <c r="H39" s="3">
        <f t="shared" si="1"/>
        <v>0.42821808772674119</v>
      </c>
      <c r="I39" s="3">
        <f t="shared" si="2"/>
        <v>9.6441870267551272E-2</v>
      </c>
      <c r="J39" s="3">
        <f t="shared" si="3"/>
        <v>0.90355812973244876</v>
      </c>
    </row>
    <row r="40" spans="6:10" ht="15.75" customHeight="1" x14ac:dyDescent="0.25">
      <c r="F40" s="2">
        <v>38</v>
      </c>
      <c r="G40" s="3">
        <f t="shared" si="0"/>
        <v>0.46588077516979343</v>
      </c>
      <c r="H40" s="3">
        <f t="shared" si="1"/>
        <v>0.43334763968118678</v>
      </c>
      <c r="I40" s="3">
        <f t="shared" si="2"/>
        <v>0.10077158514901925</v>
      </c>
      <c r="J40" s="3">
        <f t="shared" si="3"/>
        <v>0.89922841485098071</v>
      </c>
    </row>
    <row r="41" spans="6:10" ht="15.75" customHeight="1" x14ac:dyDescent="0.25">
      <c r="F41" s="2">
        <v>39</v>
      </c>
      <c r="G41" s="3">
        <f t="shared" si="0"/>
        <v>0.45660974774391455</v>
      </c>
      <c r="H41" s="3">
        <f t="shared" si="1"/>
        <v>0.43823860263273684</v>
      </c>
      <c r="I41" s="3">
        <f t="shared" si="2"/>
        <v>0.1051516496233481</v>
      </c>
      <c r="J41" s="3">
        <f t="shared" si="3"/>
        <v>0.89484835037665189</v>
      </c>
    </row>
    <row r="42" spans="6:10" ht="15.75" customHeight="1" x14ac:dyDescent="0.25">
      <c r="F42" s="2">
        <v>40</v>
      </c>
      <c r="G42" s="3">
        <f t="shared" si="0"/>
        <v>0.44752321376381066</v>
      </c>
      <c r="H42" s="3">
        <f t="shared" si="1"/>
        <v>0.44289708961173901</v>
      </c>
      <c r="I42" s="3">
        <f t="shared" si="2"/>
        <v>0.10957969662444986</v>
      </c>
      <c r="J42" s="3">
        <f t="shared" si="3"/>
        <v>0.89042030337555012</v>
      </c>
    </row>
    <row r="43" spans="6:10" ht="15.75" customHeight="1" x14ac:dyDescent="0.25">
      <c r="F43" s="2">
        <v>41</v>
      </c>
      <c r="G43" s="3">
        <f t="shared" si="0"/>
        <v>0.43861750180991083</v>
      </c>
      <c r="H43" s="3">
        <f t="shared" si="1"/>
        <v>0.44732907834814506</v>
      </c>
      <c r="I43" s="3">
        <f t="shared" si="2"/>
        <v>0.11405341984194363</v>
      </c>
      <c r="J43" s="3">
        <f t="shared" si="3"/>
        <v>0.88594658015805638</v>
      </c>
    </row>
    <row r="44" spans="6:10" ht="15.75" customHeight="1" x14ac:dyDescent="0.25">
      <c r="F44" s="2">
        <v>42</v>
      </c>
      <c r="G44" s="3">
        <f t="shared" si="0"/>
        <v>0.42988901352389358</v>
      </c>
      <c r="H44" s="3">
        <f t="shared" si="1"/>
        <v>0.45154041410049983</v>
      </c>
      <c r="I44" s="3">
        <f t="shared" si="2"/>
        <v>0.11857057237560607</v>
      </c>
      <c r="J44" s="3">
        <f t="shared" si="3"/>
        <v>0.88142942762439391</v>
      </c>
    </row>
    <row r="45" spans="6:10" ht="15.75" customHeight="1" x14ac:dyDescent="0.25">
      <c r="F45" s="2">
        <v>43</v>
      </c>
      <c r="G45" s="3">
        <f t="shared" si="0"/>
        <v>0.42133422215476807</v>
      </c>
      <c r="H45" s="3">
        <f t="shared" si="1"/>
        <v>0.45553681242726796</v>
      </c>
      <c r="I45" s="3">
        <f t="shared" si="2"/>
        <v>0.12312896541796346</v>
      </c>
      <c r="J45" s="3">
        <f t="shared" si="3"/>
        <v>0.87687103458203652</v>
      </c>
    </row>
    <row r="46" spans="6:10" ht="15.75" customHeight="1" x14ac:dyDescent="0.25">
      <c r="F46" s="2">
        <v>44</v>
      </c>
      <c r="G46" s="3">
        <f t="shared" si="0"/>
        <v>0.4129496711338882</v>
      </c>
      <c r="H46" s="3">
        <f t="shared" si="1"/>
        <v>0.45932386190165964</v>
      </c>
      <c r="I46" s="3">
        <f t="shared" si="2"/>
        <v>0.12772646696445161</v>
      </c>
      <c r="J46" s="3">
        <f t="shared" si="3"/>
        <v>0.87227353303554844</v>
      </c>
    </row>
    <row r="47" spans="6:10" ht="15.75" customHeight="1" x14ac:dyDescent="0.25">
      <c r="F47" s="2">
        <v>45</v>
      </c>
      <c r="G47" s="3">
        <f t="shared" si="0"/>
        <v>0.40473197267832384</v>
      </c>
      <c r="H47" s="3">
        <f t="shared" si="1"/>
        <v>0.46290702677109402</v>
      </c>
      <c r="I47" s="3">
        <f t="shared" si="2"/>
        <v>0.13236100055058159</v>
      </c>
      <c r="J47" s="3">
        <f t="shared" si="3"/>
        <v>0.86763899944941847</v>
      </c>
    </row>
    <row r="48" spans="6:10" ht="15.75" customHeight="1" x14ac:dyDescent="0.25">
      <c r="F48" s="2">
        <v>46</v>
      </c>
      <c r="G48" s="3">
        <f t="shared" si="0"/>
        <v>0.39667780642202516</v>
      </c>
      <c r="H48" s="3">
        <f t="shared" si="1"/>
        <v>0.46629164956241392</v>
      </c>
      <c r="I48" s="3">
        <f t="shared" si="2"/>
        <v>0.13703054401556036</v>
      </c>
      <c r="J48" s="3">
        <f t="shared" si="3"/>
        <v>0.86296945598443964</v>
      </c>
    </row>
    <row r="49" spans="6:10" ht="15.75" customHeight="1" x14ac:dyDescent="0.25">
      <c r="F49" s="2">
        <v>47</v>
      </c>
      <c r="G49" s="3">
        <f t="shared" si="0"/>
        <v>0.38878391807422685</v>
      </c>
      <c r="H49" s="3">
        <f t="shared" si="1"/>
        <v>0.46948295363394588</v>
      </c>
      <c r="I49" s="3">
        <f t="shared" si="2"/>
        <v>0.14173312829182672</v>
      </c>
      <c r="J49" s="3">
        <f t="shared" si="3"/>
        <v>0.85826687170817328</v>
      </c>
    </row>
    <row r="50" spans="6:10" ht="15.75" customHeight="1" x14ac:dyDescent="0.25">
      <c r="F50" s="2">
        <v>48</v>
      </c>
      <c r="G50" s="3">
        <f t="shared" si="0"/>
        <v>0.38104711810454972</v>
      </c>
      <c r="H50" s="3">
        <f t="shared" si="1"/>
        <v>0.47248604567547609</v>
      </c>
      <c r="I50" s="3">
        <f t="shared" si="2"/>
        <v>0.14646683621997358</v>
      </c>
      <c r="J50" s="3">
        <f t="shared" si="3"/>
        <v>0.85353316378002642</v>
      </c>
    </row>
    <row r="51" spans="6:10" ht="15.75" customHeight="1" x14ac:dyDescent="0.25">
      <c r="F51" s="2">
        <v>49</v>
      </c>
      <c r="G51" s="3">
        <f t="shared" si="0"/>
        <v>0.37346428045426916</v>
      </c>
      <c r="H51" s="3">
        <f t="shared" si="1"/>
        <v>0.47530591815719142</v>
      </c>
      <c r="I51" s="3">
        <f t="shared" si="2"/>
        <v>0.15122980138853881</v>
      </c>
      <c r="J51" s="3">
        <f t="shared" si="3"/>
        <v>0.84877019861146119</v>
      </c>
    </row>
    <row r="52" spans="6:10" ht="15.75" customHeight="1" x14ac:dyDescent="0.25">
      <c r="F52" s="2">
        <v>50</v>
      </c>
      <c r="G52" s="3">
        <f t="shared" si="0"/>
        <v>0.3660323412732292</v>
      </c>
      <c r="H52" s="3">
        <f t="shared" si="1"/>
        <v>0.47794745172861403</v>
      </c>
      <c r="I52" s="3">
        <f t="shared" si="2"/>
        <v>0.15602020699815616</v>
      </c>
      <c r="J52" s="3">
        <f t="shared" si="3"/>
        <v>0.84397979300184378</v>
      </c>
    </row>
    <row r="53" spans="6:10" ht="15.75" customHeight="1" x14ac:dyDescent="0.25">
      <c r="F53" s="2">
        <v>51</v>
      </c>
      <c r="G53" s="3">
        <f t="shared" si="0"/>
        <v>0.35874829768189193</v>
      </c>
      <c r="H53" s="3">
        <f t="shared" si="1"/>
        <v>0.48041541756853778</v>
      </c>
      <c r="I53" s="3">
        <f t="shared" si="2"/>
        <v>0.16083628474956962</v>
      </c>
      <c r="J53" s="3">
        <f t="shared" si="3"/>
        <v>0.83916371525043032</v>
      </c>
    </row>
    <row r="54" spans="6:10" ht="15.75" customHeight="1" x14ac:dyDescent="0.25">
      <c r="F54" s="2">
        <v>52</v>
      </c>
      <c r="G54" s="3">
        <f t="shared" si="0"/>
        <v>0.35160920655802225</v>
      </c>
      <c r="H54" s="3">
        <f t="shared" si="1"/>
        <v>0.48271447968695391</v>
      </c>
      <c r="I54" s="3">
        <f t="shared" si="2"/>
        <v>0.1656763137550232</v>
      </c>
      <c r="J54" s="3">
        <f t="shared" si="3"/>
        <v>0.83432368624497677</v>
      </c>
    </row>
    <row r="55" spans="6:10" ht="15.75" customHeight="1" x14ac:dyDescent="0.25">
      <c r="F55" s="2">
        <v>53</v>
      </c>
      <c r="G55" s="3">
        <f t="shared" si="0"/>
        <v>0.34461218334751759</v>
      </c>
      <c r="H55" s="3">
        <f t="shared" si="1"/>
        <v>0.48484919717993324</v>
      </c>
      <c r="I55" s="3">
        <f t="shared" si="2"/>
        <v>0.17053861947254853</v>
      </c>
      <c r="J55" s="3">
        <f t="shared" si="3"/>
        <v>0.82946138052745144</v>
      </c>
    </row>
    <row r="56" spans="6:10" ht="15.75" customHeight="1" x14ac:dyDescent="0.25">
      <c r="F56" s="2">
        <v>54</v>
      </c>
      <c r="G56" s="3">
        <f t="shared" si="0"/>
        <v>0.33775440089890196</v>
      </c>
      <c r="H56" s="3">
        <f t="shared" si="1"/>
        <v>0.48682402643841477</v>
      </c>
      <c r="I56" s="3">
        <f t="shared" si="2"/>
        <v>0.1754215726626826</v>
      </c>
      <c r="J56" s="3">
        <f t="shared" si="3"/>
        <v>0.82457842733731734</v>
      </c>
    </row>
    <row r="57" spans="6:10" ht="15.75" customHeight="1" x14ac:dyDescent="0.25">
      <c r="F57" s="2">
        <v>55</v>
      </c>
      <c r="G57" s="3">
        <f t="shared" si="0"/>
        <v>0.3310330883210138</v>
      </c>
      <c r="H57" s="3">
        <f t="shared" si="1"/>
        <v>0.48864332331182886</v>
      </c>
      <c r="I57" s="3">
        <f t="shared" si="2"/>
        <v>0.18032358836715665</v>
      </c>
      <c r="J57" s="3">
        <f t="shared" si="3"/>
        <v>0.81967641163284333</v>
      </c>
    </row>
    <row r="58" spans="6:10" ht="15.75" customHeight="1" x14ac:dyDescent="0.25">
      <c r="F58" s="2">
        <v>56</v>
      </c>
      <c r="G58" s="3">
        <f t="shared" si="0"/>
        <v>0.32444552986342562</v>
      </c>
      <c r="H58" s="3">
        <f t="shared" si="1"/>
        <v>0.49031134522746667</v>
      </c>
      <c r="I58" s="3">
        <f t="shared" si="2"/>
        <v>0.18524312490910705</v>
      </c>
      <c r="J58" s="3">
        <f t="shared" si="3"/>
        <v>0.8147568750908929</v>
      </c>
    </row>
    <row r="59" spans="6:10" ht="15.75" customHeight="1" x14ac:dyDescent="0.25">
      <c r="F59" s="2">
        <v>57</v>
      </c>
      <c r="G59" s="3">
        <f t="shared" si="0"/>
        <v>0.31798906381914344</v>
      </c>
      <c r="H59" s="3">
        <f t="shared" si="1"/>
        <v>0.49183225326648783</v>
      </c>
      <c r="I59" s="3">
        <f t="shared" si="2"/>
        <v>0.19017868291436807</v>
      </c>
      <c r="J59" s="3">
        <f t="shared" si="3"/>
        <v>0.80982131708563188</v>
      </c>
    </row>
    <row r="60" spans="6:10" ht="15.75" customHeight="1" x14ac:dyDescent="0.25">
      <c r="F60" s="2">
        <v>58</v>
      </c>
      <c r="G60" s="3">
        <f t="shared" si="0"/>
        <v>0.31166108144914245</v>
      </c>
      <c r="H60" s="3">
        <f t="shared" si="1"/>
        <v>0.49321011419744198</v>
      </c>
      <c r="I60" s="3">
        <f t="shared" si="2"/>
        <v>0.19512880435341487</v>
      </c>
      <c r="J60" s="3">
        <f t="shared" si="3"/>
        <v>0.80487119564658516</v>
      </c>
    </row>
    <row r="61" spans="6:10" ht="15.75" customHeight="1" x14ac:dyDescent="0.25">
      <c r="F61" s="2">
        <v>59</v>
      </c>
      <c r="G61" s="3">
        <f t="shared" si="0"/>
        <v>0.30545902592830448</v>
      </c>
      <c r="H61" s="3">
        <f t="shared" si="1"/>
        <v>0.49444890246816059</v>
      </c>
      <c r="I61" s="3">
        <f t="shared" si="2"/>
        <v>0.20009207160353421</v>
      </c>
      <c r="J61" s="3">
        <f t="shared" si="3"/>
        <v>0.79990792839646585</v>
      </c>
    </row>
    <row r="62" spans="6:10" ht="15.75" customHeight="1" x14ac:dyDescent="0.25">
      <c r="F62" s="2">
        <v>60</v>
      </c>
      <c r="G62" s="3">
        <f t="shared" si="0"/>
        <v>0.29938039131233124</v>
      </c>
      <c r="H62" s="3">
        <f t="shared" si="1"/>
        <v>0.49555250215685942</v>
      </c>
      <c r="I62" s="3">
        <f t="shared" si="2"/>
        <v>0.20506710653080865</v>
      </c>
      <c r="J62" s="3">
        <f t="shared" si="3"/>
        <v>0.79493289346919138</v>
      </c>
    </row>
    <row r="63" spans="6:10" ht="15.75" customHeight="1" x14ac:dyDescent="0.25">
      <c r="F63" s="2">
        <v>61</v>
      </c>
      <c r="G63" s="3">
        <f t="shared" si="0"/>
        <v>0.29342272152521581</v>
      </c>
      <c r="H63" s="3">
        <f t="shared" si="1"/>
        <v>0.49652470888327499</v>
      </c>
      <c r="I63" s="3">
        <f t="shared" si="2"/>
        <v>0.21005256959150848</v>
      </c>
      <c r="J63" s="3">
        <f t="shared" si="3"/>
        <v>0.78994743040849147</v>
      </c>
    </row>
    <row r="64" spans="6:10" ht="15.75" customHeight="1" x14ac:dyDescent="0.25">
      <c r="F64" s="2">
        <v>62</v>
      </c>
      <c r="G64" s="3">
        <f t="shared" si="0"/>
        <v>0.287583609366864</v>
      </c>
      <c r="H64" s="3">
        <f t="shared" si="1"/>
        <v>0.49736923168064151</v>
      </c>
      <c r="I64" s="3">
        <f t="shared" si="2"/>
        <v>0.21504715895249374</v>
      </c>
      <c r="J64" s="3">
        <f t="shared" si="3"/>
        <v>0.78495284104750629</v>
      </c>
    </row>
    <row r="65" spans="6:10" ht="15.75" customHeight="1" x14ac:dyDescent="0.25">
      <c r="F65" s="2">
        <v>63</v>
      </c>
      <c r="G65" s="3">
        <f t="shared" si="0"/>
        <v>0.28186069554046339</v>
      </c>
      <c r="H65" s="3">
        <f t="shared" si="1"/>
        <v>0.49808969482929899</v>
      </c>
      <c r="I65" s="3">
        <f t="shared" si="2"/>
        <v>0.22004960963023684</v>
      </c>
      <c r="J65" s="3">
        <f t="shared" si="3"/>
        <v>0.7799503903697631</v>
      </c>
    </row>
    <row r="66" spans="6:10" ht="15.75" customHeight="1" x14ac:dyDescent="0.25">
      <c r="F66" s="2">
        <v>64</v>
      </c>
      <c r="G66" s="3">
        <f t="shared" si="0"/>
        <v>0.27625166769920817</v>
      </c>
      <c r="H66" s="3">
        <f t="shared" si="1"/>
        <v>0.49868963965270713</v>
      </c>
      <c r="I66" s="3">
        <f t="shared" si="2"/>
        <v>0.22505869264808387</v>
      </c>
      <c r="J66" s="3">
        <f t="shared" si="3"/>
        <v>0.77494130735191613</v>
      </c>
    </row>
    <row r="67" spans="6:10" ht="15.75" customHeight="1" x14ac:dyDescent="0.25">
      <c r="F67" s="2">
        <v>65</v>
      </c>
      <c r="G67" s="3">
        <f t="shared" ref="G67:G130" si="4">(G66*$B$5)+(H66*$B$6)+(I66*$B$7)</f>
        <v>0.27075425951199394</v>
      </c>
      <c r="H67" s="3">
        <f t="shared" ref="H67:H130" si="5">(G66*$C$5)+(H66*$C$6)+(I66*$C$7)</f>
        <v>0.4991725262766244</v>
      </c>
      <c r="I67" s="3">
        <f t="shared" ref="I67:I130" si="6">(G66*$D$5)+(H66*$D$6)+(I66*$D$7)</f>
        <v>0.23007321421138086</v>
      </c>
      <c r="J67" s="3">
        <f t="shared" ref="J67:J130" si="7">1-I67</f>
        <v>0.76992678578861917</v>
      </c>
    </row>
    <row r="68" spans="6:10" ht="15.75" customHeight="1" x14ac:dyDescent="0.25">
      <c r="F68" s="2">
        <v>66</v>
      </c>
      <c r="G68" s="3">
        <f t="shared" si="4"/>
        <v>0.26536624974770523</v>
      </c>
      <c r="H68" s="3">
        <f t="shared" si="5"/>
        <v>0.49954173535219559</v>
      </c>
      <c r="I68" s="3">
        <f t="shared" si="6"/>
        <v>0.23509201490009829</v>
      </c>
      <c r="J68" s="3">
        <f t="shared" si="7"/>
        <v>0.76490798509990165</v>
      </c>
    </row>
    <row r="69" spans="6:10" ht="15.75" customHeight="1" x14ac:dyDescent="0.25">
      <c r="F69" s="2">
        <v>67</v>
      </c>
      <c r="G69" s="3">
        <f t="shared" si="4"/>
        <v>0.26008546137772587</v>
      </c>
      <c r="H69" s="3">
        <f t="shared" si="5"/>
        <v>0.4998005697436782</v>
      </c>
      <c r="I69" s="3">
        <f t="shared" si="6"/>
        <v>0.24011396887859501</v>
      </c>
      <c r="J69" s="3">
        <f t="shared" si="7"/>
        <v>0.75988603112140496</v>
      </c>
    </row>
    <row r="70" spans="6:10" ht="15.75" customHeight="1" x14ac:dyDescent="0.25">
      <c r="F70" s="2">
        <v>68</v>
      </c>
      <c r="G70" s="3">
        <f t="shared" si="4"/>
        <v>0.25490976069630911</v>
      </c>
      <c r="H70" s="3">
        <f t="shared" si="5"/>
        <v>0.49995225618152039</v>
      </c>
      <c r="I70" s="3">
        <f t="shared" si="6"/>
        <v>0.24513798312216956</v>
      </c>
      <c r="J70" s="3">
        <f t="shared" si="7"/>
        <v>0.75486201687783039</v>
      </c>
    </row>
    <row r="71" spans="6:10" ht="15.75" customHeight="1" x14ac:dyDescent="0.25">
      <c r="F71" s="2">
        <v>69</v>
      </c>
      <c r="G71" s="3">
        <f t="shared" si="4"/>
        <v>0.24983705645845256</v>
      </c>
      <c r="H71" s="3">
        <f t="shared" si="5"/>
        <v>0.49999994688149213</v>
      </c>
      <c r="I71" s="3">
        <f t="shared" si="6"/>
        <v>0.25016299666005437</v>
      </c>
      <c r="J71" s="3">
        <f t="shared" si="7"/>
        <v>0.74983700333994563</v>
      </c>
    </row>
    <row r="72" spans="6:10" ht="15.75" customHeight="1" x14ac:dyDescent="0.25">
      <c r="F72" s="2">
        <v>70</v>
      </c>
      <c r="G72" s="3">
        <f t="shared" si="4"/>
        <v>0.24486529903492935</v>
      </c>
      <c r="H72" s="3">
        <f t="shared" si="5"/>
        <v>0.49994672113055461</v>
      </c>
      <c r="I72" s="3">
        <f t="shared" si="6"/>
        <v>0.25518797983451513</v>
      </c>
      <c r="J72" s="3">
        <f t="shared" si="7"/>
        <v>0.74481202016548487</v>
      </c>
    </row>
    <row r="73" spans="6:10" ht="15.75" customHeight="1" x14ac:dyDescent="0.25">
      <c r="F73" s="2">
        <v>71</v>
      </c>
      <c r="G73" s="3">
        <f t="shared" si="4"/>
        <v>0.23999247958413425</v>
      </c>
      <c r="H73" s="3">
        <f t="shared" si="5"/>
        <v>0.49979558684014064</v>
      </c>
      <c r="I73" s="3">
        <f t="shared" si="6"/>
        <v>0.2602119335757242</v>
      </c>
      <c r="J73" s="3">
        <f t="shared" si="7"/>
        <v>0.73978806642427575</v>
      </c>
    </row>
    <row r="74" spans="6:10" ht="15.75" customHeight="1" x14ac:dyDescent="0.25">
      <c r="F74" s="2">
        <v>72</v>
      </c>
      <c r="G74" s="3">
        <f t="shared" si="4"/>
        <v>0.23521662924040998</v>
      </c>
      <c r="H74" s="3">
        <f t="shared" si="5"/>
        <v>0.4995494820675051</v>
      </c>
      <c r="I74" s="3">
        <f t="shared" si="6"/>
        <v>0.26523388869208403</v>
      </c>
      <c r="J74" s="3">
        <f t="shared" si="7"/>
        <v>0.73476611130791603</v>
      </c>
    </row>
    <row r="75" spans="6:10" ht="15.75" customHeight="1" x14ac:dyDescent="0.25">
      <c r="F75" s="2">
        <v>73</v>
      </c>
      <c r="G75" s="3">
        <f t="shared" si="4"/>
        <v>0.23053581831852582</v>
      </c>
      <c r="H75" s="3">
        <f t="shared" si="5"/>
        <v>0.49921127650579017</v>
      </c>
      <c r="I75" s="3">
        <f t="shared" si="6"/>
        <v>0.27025290517568312</v>
      </c>
      <c r="J75" s="3">
        <f t="shared" si="7"/>
        <v>0.72974709482431688</v>
      </c>
    </row>
    <row r="76" spans="6:10" ht="15.75" customHeight="1" x14ac:dyDescent="0.25">
      <c r="F76" s="2">
        <v>74</v>
      </c>
      <c r="G76" s="3">
        <f t="shared" si="4"/>
        <v>0.22594815553398714</v>
      </c>
      <c r="H76" s="3">
        <f t="shared" si="5"/>
        <v>0.49878377294343906</v>
      </c>
      <c r="I76" s="3">
        <f t="shared" si="6"/>
        <v>0.27526807152257288</v>
      </c>
      <c r="J76" s="3">
        <f t="shared" si="7"/>
        <v>0.72473192847742718</v>
      </c>
    </row>
    <row r="77" spans="6:10" ht="15.75" customHeight="1" x14ac:dyDescent="0.25">
      <c r="F77" s="2">
        <v>75</v>
      </c>
      <c r="G77" s="3">
        <f t="shared" si="4"/>
        <v>0.2214517872388608</v>
      </c>
      <c r="H77" s="3">
        <f t="shared" si="5"/>
        <v>0.49826970869357762</v>
      </c>
      <c r="I77" s="3">
        <f t="shared" si="6"/>
        <v>0.28027850406756066</v>
      </c>
      <c r="J77" s="3">
        <f t="shared" si="7"/>
        <v>0.71972149593243939</v>
      </c>
    </row>
    <row r="78" spans="6:10" ht="15.75" customHeight="1" x14ac:dyDescent="0.25">
      <c r="F78" s="2">
        <v>76</v>
      </c>
      <c r="G78" s="3">
        <f t="shared" si="4"/>
        <v>0.21704489667280746</v>
      </c>
      <c r="H78" s="3">
        <f t="shared" si="5"/>
        <v>0.49767175699397131</v>
      </c>
      <c r="I78" s="3">
        <f t="shared" si="6"/>
        <v>0.28528334633322033</v>
      </c>
      <c r="J78" s="3">
        <f t="shared" si="7"/>
        <v>0.71471665366677972</v>
      </c>
    </row>
    <row r="79" spans="6:10" ht="15.75" customHeight="1" x14ac:dyDescent="0.25">
      <c r="F79" s="2">
        <v>77</v>
      </c>
      <c r="G79" s="3">
        <f t="shared" si="4"/>
        <v>0.2127257032290186</v>
      </c>
      <c r="H79" s="3">
        <f t="shared" si="5"/>
        <v>0.49699252837815316</v>
      </c>
      <c r="I79" s="3">
        <f t="shared" si="6"/>
        <v>0.29028176839282732</v>
      </c>
      <c r="J79" s="3">
        <f t="shared" si="7"/>
        <v>0.70971823160717262</v>
      </c>
    </row>
    <row r="80" spans="6:10" ht="15.75" customHeight="1" x14ac:dyDescent="0.25">
      <c r="F80" s="2">
        <v>78</v>
      </c>
      <c r="G80" s="3">
        <f t="shared" si="4"/>
        <v>0.20849246173476113</v>
      </c>
      <c r="H80" s="3">
        <f t="shared" si="5"/>
        <v>0.49623457201830617</v>
      </c>
      <c r="I80" s="3">
        <f t="shared" si="6"/>
        <v>0.29527296624693178</v>
      </c>
      <c r="J80" s="3">
        <f t="shared" si="7"/>
        <v>0.70472703375306822</v>
      </c>
    </row>
    <row r="81" spans="6:10" ht="15.75" customHeight="1" x14ac:dyDescent="0.25">
      <c r="F81" s="2">
        <v>79</v>
      </c>
      <c r="G81" s="3">
        <f t="shared" si="4"/>
        <v>0.20434346174623938</v>
      </c>
      <c r="H81" s="3">
        <f t="shared" si="5"/>
        <v>0.49540037704047141</v>
      </c>
      <c r="I81" s="3">
        <f t="shared" si="6"/>
        <v>0.3002561612132883</v>
      </c>
      <c r="J81" s="3">
        <f t="shared" si="7"/>
        <v>0.69974383878671165</v>
      </c>
    </row>
    <row r="82" spans="6:10" ht="15.75" customHeight="1" x14ac:dyDescent="0.25">
      <c r="F82" s="2">
        <v>80</v>
      </c>
      <c r="G82" s="3">
        <f t="shared" si="4"/>
        <v>0.20027702685748922</v>
      </c>
      <c r="H82" s="3">
        <f t="shared" si="5"/>
        <v>0.49449237381264222</v>
      </c>
      <c r="I82" s="3">
        <f t="shared" si="6"/>
        <v>0.30523059932986762</v>
      </c>
      <c r="J82" s="3">
        <f t="shared" si="7"/>
        <v>0.69476940067013238</v>
      </c>
    </row>
    <row r="83" spans="6:10" ht="15.75" customHeight="1" x14ac:dyDescent="0.25">
      <c r="F83" s="2">
        <v>81</v>
      </c>
      <c r="G83" s="3">
        <f t="shared" si="4"/>
        <v>0.19629151402302517</v>
      </c>
      <c r="H83" s="3">
        <f t="shared" si="5"/>
        <v>0.49351293520629408</v>
      </c>
      <c r="I83" s="3">
        <f t="shared" si="6"/>
        <v>0.31019555077067978</v>
      </c>
      <c r="J83" s="3">
        <f t="shared" si="7"/>
        <v>0.68980444922932027</v>
      </c>
    </row>
    <row r="84" spans="6:10" ht="15.75" customHeight="1" x14ac:dyDescent="0.25">
      <c r="F84" s="2">
        <v>82</v>
      </c>
      <c r="G84" s="3">
        <f t="shared" si="4"/>
        <v>0.19238531289396696</v>
      </c>
      <c r="H84" s="3">
        <f t="shared" si="5"/>
        <v>0.49246437783188701</v>
      </c>
      <c r="I84" s="3">
        <f t="shared" si="6"/>
        <v>0.315150309274145</v>
      </c>
      <c r="J84" s="3">
        <f t="shared" si="7"/>
        <v>0.684849690725855</v>
      </c>
    </row>
    <row r="85" spans="6:10" ht="15.75" customHeight="1" x14ac:dyDescent="0.25">
      <c r="F85" s="2">
        <v>83</v>
      </c>
      <c r="G85" s="3">
        <f t="shared" si="4"/>
        <v>0.188556845167377</v>
      </c>
      <c r="H85" s="3">
        <f t="shared" si="5"/>
        <v>0.49134896324886868</v>
      </c>
      <c r="I85" s="3">
        <f t="shared" si="6"/>
        <v>0.3200941915837533</v>
      </c>
      <c r="J85" s="3">
        <f t="shared" si="7"/>
        <v>0.6799058084162467</v>
      </c>
    </row>
    <row r="86" spans="6:10" ht="15.75" customHeight="1" x14ac:dyDescent="0.25">
      <c r="F86" s="2">
        <v>84</v>
      </c>
      <c r="G86" s="3">
        <f t="shared" si="4"/>
        <v>0.18480456394854619</v>
      </c>
      <c r="H86" s="3">
        <f t="shared" si="5"/>
        <v>0.49016889915069406</v>
      </c>
      <c r="I86" s="3">
        <f t="shared" si="6"/>
        <v>0.32502653690075872</v>
      </c>
      <c r="J86" s="3">
        <f t="shared" si="7"/>
        <v>0.67497346309924122</v>
      </c>
    </row>
    <row r="87" spans="6:10" ht="15.75" customHeight="1" x14ac:dyDescent="0.25">
      <c r="F87" s="2">
        <v>85</v>
      </c>
      <c r="G87" s="3">
        <f t="shared" si="4"/>
        <v>0.1811269531259701</v>
      </c>
      <c r="H87" s="3">
        <f t="shared" si="5"/>
        <v>0.48892634052536832</v>
      </c>
      <c r="I87" s="3">
        <f t="shared" si="6"/>
        <v>0.32994670634866052</v>
      </c>
      <c r="J87" s="3">
        <f t="shared" si="7"/>
        <v>0.67005329365133948</v>
      </c>
    </row>
    <row r="88" spans="6:10" ht="15.75" customHeight="1" x14ac:dyDescent="0.25">
      <c r="F88" s="2">
        <v>86</v>
      </c>
      <c r="G88" s="3">
        <f t="shared" si="4"/>
        <v>0.17752252675876329</v>
      </c>
      <c r="H88" s="3">
        <f t="shared" si="5"/>
        <v>0.48762339079200884</v>
      </c>
      <c r="I88" s="3">
        <f t="shared" si="6"/>
        <v>0.33485408244922682</v>
      </c>
      <c r="J88" s="3">
        <f t="shared" si="7"/>
        <v>0.66514591755077324</v>
      </c>
    </row>
    <row r="89" spans="6:10" ht="15.75" customHeight="1" x14ac:dyDescent="0.25">
      <c r="F89" s="2">
        <v>87</v>
      </c>
      <c r="G89" s="3">
        <f t="shared" si="4"/>
        <v>0.1739898284762639</v>
      </c>
      <c r="H89" s="3">
        <f t="shared" si="5"/>
        <v>0.48626210291391225</v>
      </c>
      <c r="I89" s="3">
        <f t="shared" si="6"/>
        <v>0.33974806860982276</v>
      </c>
      <c r="J89" s="3">
        <f t="shared" si="7"/>
        <v>0.66025193139017724</v>
      </c>
    </row>
    <row r="90" spans="6:10" ht="15.75" customHeight="1" x14ac:dyDescent="0.25">
      <c r="F90" s="2">
        <v>88</v>
      </c>
      <c r="G90" s="3">
        <f t="shared" si="4"/>
        <v>0.17052743088958625</v>
      </c>
      <c r="H90" s="3">
        <f t="shared" si="5"/>
        <v>0.48484448048860312</v>
      </c>
      <c r="I90" s="3">
        <f t="shared" si="6"/>
        <v>0.34462808862180949</v>
      </c>
      <c r="J90" s="3">
        <f t="shared" si="7"/>
        <v>0.65537191137819051</v>
      </c>
    </row>
    <row r="91" spans="6:10" ht="15.75" customHeight="1" x14ac:dyDescent="0.25">
      <c r="F91" s="2">
        <v>89</v>
      </c>
      <c r="G91" s="3">
        <f t="shared" si="4"/>
        <v>0.16713393501488347</v>
      </c>
      <c r="H91" s="3">
        <f t="shared" si="5"/>
        <v>0.48337247881533085</v>
      </c>
      <c r="I91" s="3">
        <f t="shared" si="6"/>
        <v>0.34949358616978449</v>
      </c>
      <c r="J91" s="3">
        <f t="shared" si="7"/>
        <v>0.65050641383021546</v>
      </c>
    </row>
    <row r="92" spans="6:10" ht="15.75" customHeight="1" x14ac:dyDescent="0.25">
      <c r="F92" s="2">
        <v>90</v>
      </c>
      <c r="G92" s="3">
        <f t="shared" si="4"/>
        <v>0.16380796970808728</v>
      </c>
      <c r="H92" s="3">
        <f t="shared" si="5"/>
        <v>0.48184800594047222</v>
      </c>
      <c r="I92" s="3">
        <f t="shared" si="6"/>
        <v>0.3543440243514393</v>
      </c>
      <c r="J92" s="3">
        <f t="shared" si="7"/>
        <v>0.6456559756485607</v>
      </c>
    </row>
    <row r="93" spans="6:10" ht="15.75" customHeight="1" x14ac:dyDescent="0.25">
      <c r="F93" s="2">
        <v>91</v>
      </c>
      <c r="G93" s="3">
        <f t="shared" si="4"/>
        <v>0.16054819111089633</v>
      </c>
      <c r="H93" s="3">
        <f t="shared" si="5"/>
        <v>0.48027292368128766</v>
      </c>
      <c r="I93" s="3">
        <f t="shared" si="6"/>
        <v>0.35917888520781482</v>
      </c>
      <c r="J93" s="3">
        <f t="shared" si="7"/>
        <v>0.64082111479218518</v>
      </c>
    </row>
    <row r="94" spans="6:10" ht="15.75" customHeight="1" x14ac:dyDescent="0.25">
      <c r="F94" s="2">
        <v>92</v>
      </c>
      <c r="G94" s="3">
        <f t="shared" si="4"/>
        <v>0.15735328210778948</v>
      </c>
      <c r="H94" s="3">
        <f t="shared" si="5"/>
        <v>0.47864904862847052</v>
      </c>
      <c r="I94" s="3">
        <f t="shared" si="6"/>
        <v>0.36399766926373878</v>
      </c>
      <c r="J94" s="3">
        <f t="shared" si="7"/>
        <v>0.63600233073626122</v>
      </c>
    </row>
    <row r="95" spans="6:10" ht="15.75" customHeight="1" x14ac:dyDescent="0.25">
      <c r="F95" s="2">
        <v>93</v>
      </c>
      <c r="G95" s="3">
        <f t="shared" si="4"/>
        <v>0.15422195179384446</v>
      </c>
      <c r="H95" s="3">
        <f t="shared" si="5"/>
        <v>0.47697815312792002</v>
      </c>
      <c r="I95" s="3">
        <f t="shared" si="6"/>
        <v>0.36879989507823424</v>
      </c>
      <c r="J95" s="3">
        <f t="shared" si="7"/>
        <v>0.6312001049217657</v>
      </c>
    </row>
    <row r="96" spans="6:10" ht="15.75" customHeight="1" x14ac:dyDescent="0.25">
      <c r="F96" s="2">
        <v>94</v>
      </c>
      <c r="G96" s="3">
        <f t="shared" si="4"/>
        <v>0.15115293495314694</v>
      </c>
      <c r="H96" s="3">
        <f t="shared" si="5"/>
        <v>0.47526196624215894</v>
      </c>
      <c r="I96" s="3">
        <f t="shared" si="6"/>
        <v>0.37358509880469282</v>
      </c>
      <c r="J96" s="3">
        <f t="shared" si="7"/>
        <v>0.62641490119530718</v>
      </c>
    </row>
    <row r="97" spans="6:10" ht="15.75" customHeight="1" x14ac:dyDescent="0.25">
      <c r="F97" s="2">
        <v>95</v>
      </c>
      <c r="G97" s="3">
        <f t="shared" si="4"/>
        <v>0.14814499154757932</v>
      </c>
      <c r="H97" s="3">
        <f t="shared" si="5"/>
        <v>0.47350217469180966</v>
      </c>
      <c r="I97" s="3">
        <f t="shared" si="6"/>
        <v>0.37835283376060974</v>
      </c>
      <c r="J97" s="3">
        <f t="shared" si="7"/>
        <v>0.62164716623939031</v>
      </c>
    </row>
    <row r="98" spans="6:10" ht="15.75" customHeight="1" x14ac:dyDescent="0.25">
      <c r="F98" s="2">
        <v>96</v>
      </c>
      <c r="G98" s="3">
        <f t="shared" si="4"/>
        <v>0.14519690621578249</v>
      </c>
      <c r="H98" s="3">
        <f t="shared" si="5"/>
        <v>0.47170042377753363</v>
      </c>
      <c r="I98" s="3">
        <f t="shared" si="6"/>
        <v>0.38310267000668258</v>
      </c>
      <c r="J98" s="3">
        <f t="shared" si="7"/>
        <v>0.61689732999331737</v>
      </c>
    </row>
    <row r="99" spans="6:10" ht="15.75" customHeight="1" x14ac:dyDescent="0.25">
      <c r="F99" s="2">
        <v>97</v>
      </c>
      <c r="G99" s="3">
        <f t="shared" si="4"/>
        <v>0.1423074877820884</v>
      </c>
      <c r="H99" s="3">
        <f t="shared" si="5"/>
        <v>0.46985831828283081</v>
      </c>
      <c r="I99" s="3">
        <f t="shared" si="6"/>
        <v>0.38783419393507951</v>
      </c>
      <c r="J99" s="3">
        <f t="shared" si="7"/>
        <v>0.61216580606492044</v>
      </c>
    </row>
    <row r="100" spans="6:10" ht="15.75" customHeight="1" x14ac:dyDescent="0.25">
      <c r="F100" s="2">
        <v>98</v>
      </c>
      <c r="G100" s="3">
        <f t="shared" si="4"/>
        <v>0.13947556877522485</v>
      </c>
      <c r="H100" s="3">
        <f t="shared" si="5"/>
        <v>0.4679774233580879</v>
      </c>
      <c r="I100" s="3">
        <f t="shared" si="6"/>
        <v>0.392547007866686</v>
      </c>
      <c r="J100" s="3">
        <f t="shared" si="7"/>
        <v>0.60745299213331405</v>
      </c>
    </row>
    <row r="101" spans="6:10" ht="15.75" customHeight="1" x14ac:dyDescent="0.25">
      <c r="F101" s="2">
        <v>99</v>
      </c>
      <c r="G101" s="3">
        <f t="shared" si="4"/>
        <v>0.13670000495659787</v>
      </c>
      <c r="H101" s="3">
        <f t="shared" si="5"/>
        <v>0.46605926538625647</v>
      </c>
      <c r="I101" s="3">
        <f t="shared" si="6"/>
        <v>0.39724072965714441</v>
      </c>
      <c r="J101" s="3">
        <f t="shared" si="7"/>
        <v>0.60275927034285559</v>
      </c>
    </row>
    <row r="102" spans="6:10" ht="15.75" customHeight="1" x14ac:dyDescent="0.25">
      <c r="F102" s="2">
        <v>100</v>
      </c>
      <c r="G102" s="3">
        <f t="shared" si="4"/>
        <v>0.13397967485796156</v>
      </c>
      <c r="H102" s="3">
        <f t="shared" si="5"/>
        <v>0.46410533283053451</v>
      </c>
      <c r="I102" s="3">
        <f t="shared" si="6"/>
        <v>0.40191499231150263</v>
      </c>
      <c r="J102" s="3">
        <f t="shared" si="7"/>
        <v>0.59808500768849737</v>
      </c>
    </row>
    <row r="103" spans="6:10" ht="15.75" customHeight="1" x14ac:dyDescent="0.25">
      <c r="F103" s="2">
        <v>101</v>
      </c>
      <c r="G103" s="3">
        <f t="shared" si="4"/>
        <v>0.13131347932828813</v>
      </c>
      <c r="H103" s="3">
        <f t="shared" si="5"/>
        <v>0.46211707706441679</v>
      </c>
      <c r="I103" s="3">
        <f t="shared" si="6"/>
        <v>0.40656944360729375</v>
      </c>
      <c r="J103" s="3">
        <f t="shared" si="7"/>
        <v>0.59343055639270625</v>
      </c>
    </row>
    <row r="104" spans="6:10" ht="15.75" customHeight="1" x14ac:dyDescent="0.25">
      <c r="F104" s="2">
        <v>102</v>
      </c>
      <c r="G104" s="3">
        <f t="shared" si="4"/>
        <v>0.1287003410896552</v>
      </c>
      <c r="H104" s="3">
        <f t="shared" si="5"/>
        <v>0.46009591318447274</v>
      </c>
      <c r="I104" s="3">
        <f t="shared" si="6"/>
        <v>0.41120374572587076</v>
      </c>
      <c r="J104" s="3">
        <f t="shared" si="7"/>
        <v>0.58879625427412918</v>
      </c>
    </row>
    <row r="105" spans="6:10" ht="15.75" customHeight="1" x14ac:dyDescent="0.25">
      <c r="F105" s="2">
        <v>103</v>
      </c>
      <c r="G105" s="3">
        <f t="shared" si="4"/>
        <v>0.12613920430197106</v>
      </c>
      <c r="H105" s="3">
        <f t="shared" si="5"/>
        <v>0.45804322080620319</v>
      </c>
      <c r="I105" s="3">
        <f t="shared" si="6"/>
        <v>0.41581757489182447</v>
      </c>
      <c r="J105" s="3">
        <f t="shared" si="7"/>
        <v>0.58418242510817553</v>
      </c>
    </row>
    <row r="106" spans="6:10" ht="15.75" customHeight="1" x14ac:dyDescent="0.25">
      <c r="F106" s="2">
        <v>104</v>
      </c>
      <c r="G106" s="3">
        <f t="shared" si="4"/>
        <v>0.12362903413636184</v>
      </c>
      <c r="H106" s="3">
        <f t="shared" si="5"/>
        <v>0.45596034484332015</v>
      </c>
      <c r="I106" s="3">
        <f t="shared" si="6"/>
        <v>0.42041062102031668</v>
      </c>
      <c r="J106" s="3">
        <f t="shared" si="7"/>
        <v>0.57958937897968332</v>
      </c>
    </row>
    <row r="107" spans="6:10" ht="15.75" customHeight="1" x14ac:dyDescent="0.25">
      <c r="F107" s="2">
        <v>105</v>
      </c>
      <c r="G107" s="3">
        <f t="shared" si="4"/>
        <v>0.12116881635704824</v>
      </c>
      <c r="H107" s="3">
        <f t="shared" si="5"/>
        <v>0.45384859627078694</v>
      </c>
      <c r="I107" s="3">
        <f t="shared" si="6"/>
        <v>0.42498258737216349</v>
      </c>
      <c r="J107" s="3">
        <f t="shared" si="7"/>
        <v>0.57501741262783646</v>
      </c>
    </row>
    <row r="108" spans="6:10" ht="15.75" customHeight="1" x14ac:dyDescent="0.25">
      <c r="F108" s="2">
        <v>106</v>
      </c>
      <c r="G108" s="3">
        <f t="shared" si="4"/>
        <v>0.11875755691154298</v>
      </c>
      <c r="H108" s="3">
        <f t="shared" si="5"/>
        <v>0.45170925287194863</v>
      </c>
      <c r="I108" s="3">
        <f t="shared" si="6"/>
        <v>0.42953319021650704</v>
      </c>
      <c r="J108" s="3">
        <f t="shared" si="7"/>
        <v>0.57046680978349296</v>
      </c>
    </row>
    <row r="109" spans="6:10" ht="15.75" customHeight="1" x14ac:dyDescent="0.25">
      <c r="F109" s="2">
        <v>107</v>
      </c>
      <c r="G109" s="3">
        <f t="shared" si="4"/>
        <v>0.11639428152900327</v>
      </c>
      <c r="H109" s="3">
        <f t="shared" si="5"/>
        <v>0.44954355997007767</v>
      </c>
      <c r="I109" s="3">
        <f t="shared" si="6"/>
        <v>0.43406215850091767</v>
      </c>
      <c r="J109" s="3">
        <f t="shared" si="7"/>
        <v>0.56593784149908233</v>
      </c>
    </row>
    <row r="110" spans="6:10" ht="15.75" customHeight="1" x14ac:dyDescent="0.25">
      <c r="F110" s="2">
        <v>108</v>
      </c>
      <c r="G110" s="3">
        <f t="shared" si="4"/>
        <v>0.11407803532657611</v>
      </c>
      <c r="H110" s="3">
        <f t="shared" si="5"/>
        <v>0.44735273114465113</v>
      </c>
      <c r="I110" s="3">
        <f t="shared" si="6"/>
        <v>0.43856923352877136</v>
      </c>
      <c r="J110" s="3">
        <f t="shared" si="7"/>
        <v>0.56143076647122858</v>
      </c>
    </row>
    <row r="111" spans="6:10" ht="15.75" customHeight="1" x14ac:dyDescent="0.25">
      <c r="F111" s="2">
        <v>109</v>
      </c>
      <c r="G111" s="3">
        <f t="shared" si="4"/>
        <v>0.11180788242357724</v>
      </c>
      <c r="H111" s="3">
        <f t="shared" si="5"/>
        <v>0.44513794893267083</v>
      </c>
      <c r="I111" s="3">
        <f t="shared" si="6"/>
        <v>0.44305416864375052</v>
      </c>
      <c r="J111" s="3">
        <f t="shared" si="7"/>
        <v>0.55694583135624942</v>
      </c>
    </row>
    <row r="112" spans="6:10" ht="15.75" customHeight="1" x14ac:dyDescent="0.25">
      <c r="F112" s="2">
        <v>110</v>
      </c>
      <c r="G112" s="3">
        <f t="shared" si="4"/>
        <v>0.10958290556334804</v>
      </c>
      <c r="H112" s="3">
        <f t="shared" si="5"/>
        <v>0.44290036551533096</v>
      </c>
      <c r="I112" s="3">
        <f t="shared" si="6"/>
        <v>0.44751672892131961</v>
      </c>
      <c r="J112" s="3">
        <f t="shared" si="7"/>
        <v>0.55248327107868045</v>
      </c>
    </row>
    <row r="113" spans="6:10" ht="15.75" customHeight="1" x14ac:dyDescent="0.25">
      <c r="F113" s="2">
        <v>111</v>
      </c>
      <c r="G113" s="3">
        <f t="shared" si="4"/>
        <v>0.10740220574263741</v>
      </c>
      <c r="H113" s="3">
        <f t="shared" si="5"/>
        <v>0.44064110339033197</v>
      </c>
      <c r="I113" s="3">
        <f t="shared" si="6"/>
        <v>0.45195669086702928</v>
      </c>
      <c r="J113" s="3">
        <f t="shared" si="7"/>
        <v>0.54804330913297072</v>
      </c>
    </row>
    <row r="114" spans="6:10" ht="15.75" customHeight="1" x14ac:dyDescent="0.25">
      <c r="F114" s="2">
        <v>112</v>
      </c>
      <c r="G114" s="3">
        <f t="shared" si="4"/>
        <v>0.10526490184835892</v>
      </c>
      <c r="H114" s="3">
        <f t="shared" si="5"/>
        <v>0.43836125603013287</v>
      </c>
      <c r="I114" s="3">
        <f t="shared" si="6"/>
        <v>0.45637384212150683</v>
      </c>
      <c r="J114" s="3">
        <f t="shared" si="7"/>
        <v>0.54362615787849311</v>
      </c>
    </row>
    <row r="115" spans="6:10" ht="15.75" customHeight="1" x14ac:dyDescent="0.25">
      <c r="F115" s="2">
        <v>113</v>
      </c>
      <c r="G115" s="3">
        <f t="shared" si="4"/>
        <v>0.10317013030157657</v>
      </c>
      <c r="H115" s="3">
        <f t="shared" si="5"/>
        <v>0.43606188852642902</v>
      </c>
      <c r="I115" s="3">
        <f t="shared" si="6"/>
        <v>0.46076798117199302</v>
      </c>
      <c r="J115" s="3">
        <f t="shared" si="7"/>
        <v>0.53923201882800698</v>
      </c>
    </row>
    <row r="116" spans="6:10" ht="15.75" customHeight="1" x14ac:dyDescent="0.25">
      <c r="F116" s="2">
        <v>114</v>
      </c>
      <c r="G116" s="3">
        <f t="shared" si="4"/>
        <v>0.10111704470857519</v>
      </c>
      <c r="H116" s="3">
        <f t="shared" si="5"/>
        <v>0.43374403822113594</v>
      </c>
      <c r="I116" s="3">
        <f t="shared" si="6"/>
        <v>0.46513891707028748</v>
      </c>
      <c r="J116" s="3">
        <f t="shared" si="7"/>
        <v>0.53486108292971246</v>
      </c>
    </row>
    <row r="117" spans="6:10" ht="15.75" customHeight="1" x14ac:dyDescent="0.25">
      <c r="F117" s="2">
        <v>115</v>
      </c>
      <c r="G117" s="3">
        <f t="shared" si="4"/>
        <v>9.9104815518874539E-2</v>
      </c>
      <c r="H117" s="3">
        <f t="shared" si="5"/>
        <v>0.43140871532415437</v>
      </c>
      <c r="I117" s="3">
        <f t="shared" si="6"/>
        <v>0.46948646915696968</v>
      </c>
      <c r="J117" s="3">
        <f t="shared" si="7"/>
        <v>0.53051353084303032</v>
      </c>
    </row>
    <row r="118" spans="6:10" ht="15.75" customHeight="1" x14ac:dyDescent="0.25">
      <c r="F118" s="2">
        <v>116</v>
      </c>
      <c r="G118" s="3">
        <f t="shared" si="4"/>
        <v>9.7132629690048933E-2</v>
      </c>
      <c r="H118" s="3">
        <f t="shared" si="5"/>
        <v>0.42905690351818654</v>
      </c>
      <c r="I118" s="3">
        <f t="shared" si="6"/>
        <v>0.47381046679176309</v>
      </c>
      <c r="J118" s="3">
        <f t="shared" si="7"/>
        <v>0.52618953320823691</v>
      </c>
    </row>
    <row r="119" spans="6:10" ht="15.75" customHeight="1" x14ac:dyDescent="0.25">
      <c r="F119" s="2">
        <v>117</v>
      </c>
      <c r="G119" s="3">
        <f t="shared" si="4"/>
        <v>9.5199690359216951E-2</v>
      </c>
      <c r="H119" s="3">
        <f t="shared" si="5"/>
        <v>0.42668956055086765</v>
      </c>
      <c r="I119" s="3">
        <f t="shared" si="6"/>
        <v>0.47811074908991397</v>
      </c>
      <c r="J119" s="3">
        <f t="shared" si="7"/>
        <v>0.52188925091008609</v>
      </c>
    </row>
    <row r="120" spans="6:10" ht="15.75" customHeight="1" x14ac:dyDescent="0.25">
      <c r="F120" s="2">
        <v>118</v>
      </c>
      <c r="G120" s="3">
        <f t="shared" si="4"/>
        <v>9.3305216521068532E-2</v>
      </c>
      <c r="H120" s="3">
        <f t="shared" si="5"/>
        <v>0.42430761881447143</v>
      </c>
      <c r="I120" s="3">
        <f t="shared" si="6"/>
        <v>0.48238716466445858</v>
      </c>
      <c r="J120" s="3">
        <f t="shared" si="7"/>
        <v>0.51761283533554137</v>
      </c>
    </row>
    <row r="121" spans="6:10" ht="15.75" customHeight="1" x14ac:dyDescent="0.25">
      <c r="F121" s="2">
        <v>119</v>
      </c>
      <c r="G121" s="3">
        <f t="shared" si="4"/>
        <v>9.1448442712299266E-2</v>
      </c>
      <c r="H121" s="3">
        <f t="shared" si="5"/>
        <v>0.42191198591344387</v>
      </c>
      <c r="I121" s="3">
        <f t="shared" si="6"/>
        <v>0.4866395713742554</v>
      </c>
      <c r="J121" s="3">
        <f t="shared" si="7"/>
        <v>0.5133604286257446</v>
      </c>
    </row>
    <row r="122" spans="6:10" ht="15.75" customHeight="1" x14ac:dyDescent="0.25">
      <c r="F122" s="2">
        <v>120</v>
      </c>
      <c r="G122" s="3">
        <f t="shared" si="4"/>
        <v>8.9628618702324511E-2</v>
      </c>
      <c r="H122" s="3">
        <f t="shared" si="5"/>
        <v>0.41950354522001299</v>
      </c>
      <c r="I122" s="3">
        <f t="shared" si="6"/>
        <v>0.49086783607766105</v>
      </c>
      <c r="J122" s="3">
        <f t="shared" si="7"/>
        <v>0.50913216392233895</v>
      </c>
    </row>
    <row r="123" spans="6:10" ht="15.75" customHeight="1" x14ac:dyDescent="0.25">
      <c r="F123" s="2">
        <v>121</v>
      </c>
      <c r="G123" s="3">
        <f t="shared" si="4"/>
        <v>8.7845009190148246E-2</v>
      </c>
      <c r="H123" s="3">
        <f t="shared" si="5"/>
        <v>0.41708315641811888</v>
      </c>
      <c r="I123" s="3">
        <f t="shared" si="6"/>
        <v>0.49507183439173141</v>
      </c>
      <c r="J123" s="3">
        <f t="shared" si="7"/>
        <v>0.50492816560826859</v>
      </c>
    </row>
    <row r="124" spans="6:10" ht="15.75" customHeight="1" x14ac:dyDescent="0.25">
      <c r="F124" s="2">
        <v>122</v>
      </c>
      <c r="G124" s="3">
        <f t="shared" si="4"/>
        <v>8.6096893507264294E-2</v>
      </c>
      <c r="H124" s="3">
        <f t="shared" si="5"/>
        <v>0.41465165603590265</v>
      </c>
      <c r="I124" s="3">
        <f t="shared" si="6"/>
        <v>0.49925145045683161</v>
      </c>
      <c r="J124" s="3">
        <f t="shared" si="7"/>
        <v>0.50074854954316839</v>
      </c>
    </row>
    <row r="125" spans="6:10" ht="15.75" customHeight="1" x14ac:dyDescent="0.25">
      <c r="F125" s="2">
        <v>123</v>
      </c>
      <c r="G125" s="3">
        <f t="shared" si="4"/>
        <v>8.4383565326469734E-2</v>
      </c>
      <c r="H125" s="3">
        <f t="shared" si="5"/>
        <v>0.41220985796698745</v>
      </c>
      <c r="I125" s="3">
        <f t="shared" si="6"/>
        <v>0.50340657670654132</v>
      </c>
      <c r="J125" s="3">
        <f t="shared" si="7"/>
        <v>0.49659342329345868</v>
      </c>
    </row>
    <row r="126" spans="6:10" ht="15.75" customHeight="1" x14ac:dyDescent="0.25">
      <c r="F126" s="2">
        <v>124</v>
      </c>
      <c r="G126" s="3">
        <f t="shared" si="4"/>
        <v>8.2704332376472983E-2</v>
      </c>
      <c r="H126" s="3">
        <f t="shared" si="5"/>
        <v>0.40975855398078165</v>
      </c>
      <c r="I126" s="3">
        <f t="shared" si="6"/>
        <v>0.50753711364274379</v>
      </c>
      <c r="J126" s="3">
        <f t="shared" si="7"/>
        <v>0.49246288635725621</v>
      </c>
    </row>
    <row r="127" spans="6:10" ht="15.75" customHeight="1" x14ac:dyDescent="0.25">
      <c r="F127" s="2">
        <v>125</v>
      </c>
      <c r="G127" s="3">
        <f t="shared" si="4"/>
        <v>8.1058516162181168E-2</v>
      </c>
      <c r="H127" s="3">
        <f t="shared" si="5"/>
        <v>0.40729851422202801</v>
      </c>
      <c r="I127" s="3">
        <f t="shared" si="6"/>
        <v>0.51164296961578926</v>
      </c>
      <c r="J127" s="3">
        <f t="shared" si="7"/>
        <v>0.48835703038421074</v>
      </c>
    </row>
    <row r="128" spans="6:10" ht="15.75" customHeight="1" x14ac:dyDescent="0.25">
      <c r="F128" s="2">
        <v>126</v>
      </c>
      <c r="G128" s="3">
        <f t="shared" si="4"/>
        <v>7.9445451690553767E-2</v>
      </c>
      <c r="H128" s="3">
        <f t="shared" si="5"/>
        <v>0.40483048769981894</v>
      </c>
      <c r="I128" s="3">
        <f t="shared" si="6"/>
        <v>0.51572406060962572</v>
      </c>
      <c r="J128" s="3">
        <f t="shared" si="7"/>
        <v>0.48427593939037428</v>
      </c>
    </row>
    <row r="129" spans="6:10" ht="15.75" customHeight="1" x14ac:dyDescent="0.25">
      <c r="F129" s="2">
        <v>127</v>
      </c>
      <c r="G129" s="3">
        <f t="shared" si="4"/>
        <v>7.7864487201911747E-2</v>
      </c>
      <c r="H129" s="3">
        <f t="shared" si="5"/>
        <v>0.40235520276629372</v>
      </c>
      <c r="I129" s="3">
        <f t="shared" si="6"/>
        <v>0.51978031003179292</v>
      </c>
      <c r="J129" s="3">
        <f t="shared" si="7"/>
        <v>0.48021968996820708</v>
      </c>
    </row>
    <row r="130" spans="6:10" ht="15.75" customHeight="1" x14ac:dyDescent="0.25">
      <c r="F130" s="2">
        <v>128</v>
      </c>
      <c r="G130" s="3">
        <f t="shared" si="4"/>
        <v>7.6314983906593706E-2</v>
      </c>
      <c r="H130" s="3">
        <f t="shared" si="5"/>
        <v>0.39987336758522868</v>
      </c>
      <c r="I130" s="3">
        <f t="shared" si="6"/>
        <v>0.52381164850817608</v>
      </c>
      <c r="J130" s="3">
        <f t="shared" si="7"/>
        <v>0.47618835149182392</v>
      </c>
    </row>
    <row r="131" spans="6:10" ht="15.75" customHeight="1" x14ac:dyDescent="0.25">
      <c r="F131" s="2">
        <v>129</v>
      </c>
      <c r="G131" s="3">
        <f t="shared" ref="G131:G194" si="8">(G130*$B$5)+(H130*$B$6)+(I130*$B$7)</f>
        <v>7.4796315726852483E-2</v>
      </c>
      <c r="H131" s="3">
        <f t="shared" ref="H131:H194" si="9">(G130*$C$5)+(H130*$C$6)+(I130*$C$7)</f>
        <v>0.39738567059072694</v>
      </c>
      <c r="I131" s="3">
        <f t="shared" ref="I131:I194" si="10">(G130*$D$5)+(H130*$D$6)+(I130*$D$7)</f>
        <v>0.52781801368241898</v>
      </c>
      <c r="J131" s="3">
        <f t="shared" ref="J131:J194" si="11">1-I131</f>
        <v>0.47218198631758102</v>
      </c>
    </row>
    <row r="132" spans="6:10" ht="15.75" customHeight="1" x14ac:dyDescent="0.25">
      <c r="F132" s="2">
        <v>130</v>
      </c>
      <c r="G132" s="3">
        <f t="shared" si="8"/>
        <v>7.3307869043888113E-2</v>
      </c>
      <c r="H132" s="3">
        <f t="shared" si="9"/>
        <v>0.39489278093621133</v>
      </c>
      <c r="I132" s="3">
        <f t="shared" si="10"/>
        <v>0.53179935001989898</v>
      </c>
      <c r="J132" s="3">
        <f t="shared" si="11"/>
        <v>0.46820064998010102</v>
      </c>
    </row>
    <row r="133" spans="6:10" ht="15.75" customHeight="1" x14ac:dyDescent="0.25">
      <c r="F133" s="2">
        <v>131</v>
      </c>
      <c r="G133" s="3">
        <f t="shared" si="8"/>
        <v>7.1849042449914732E-2</v>
      </c>
      <c r="H133" s="3">
        <f t="shared" si="9"/>
        <v>0.3923953489339182</v>
      </c>
      <c r="I133" s="3">
        <f t="shared" si="10"/>
        <v>0.53575560861616545</v>
      </c>
      <c r="J133" s="3">
        <f t="shared" si="11"/>
        <v>0.46424439138383455</v>
      </c>
    </row>
    <row r="134" spans="6:10" ht="15.75" customHeight="1" x14ac:dyDescent="0.25">
      <c r="F134" s="2">
        <v>132</v>
      </c>
      <c r="G134" s="3">
        <f t="shared" si="8"/>
        <v>7.0419246505161431E-2</v>
      </c>
      <c r="H134" s="3">
        <f t="shared" si="9"/>
        <v>0.38989400648508737</v>
      </c>
      <c r="I134" s="3">
        <f t="shared" si="10"/>
        <v>0.53968674700974961</v>
      </c>
      <c r="J134" s="3">
        <f t="shared" si="11"/>
        <v>0.46031325299025039</v>
      </c>
    </row>
    <row r="135" spans="6:10" ht="15.75" customHeight="1" x14ac:dyDescent="0.25">
      <c r="F135" s="2">
        <v>133</v>
      </c>
      <c r="G135" s="3">
        <f t="shared" si="8"/>
        <v>6.901790349970871E-2</v>
      </c>
      <c r="H135" s="3">
        <f t="shared" si="9"/>
        <v>0.38738936750103869</v>
      </c>
      <c r="I135" s="3">
        <f t="shared" si="10"/>
        <v>0.54359272899925104</v>
      </c>
      <c r="J135" s="3">
        <f t="shared" si="11"/>
        <v>0.45640727100074896</v>
      </c>
    </row>
    <row r="136" spans="6:10" ht="15.75" customHeight="1" x14ac:dyDescent="0.25">
      <c r="F136" s="2">
        <v>134</v>
      </c>
      <c r="G136" s="3">
        <f t="shared" si="8"/>
        <v>6.7644447220064505E-2</v>
      </c>
      <c r="H136" s="3">
        <f t="shared" si="9"/>
        <v>0.38488202831532253</v>
      </c>
      <c r="I136" s="3">
        <f t="shared" si="10"/>
        <v>0.54747352446461139</v>
      </c>
      <c r="J136" s="3">
        <f t="shared" si="11"/>
        <v>0.45252647553538861</v>
      </c>
    </row>
    <row r="137" spans="6:10" ht="15.75" customHeight="1" x14ac:dyDescent="0.25">
      <c r="F137" s="2">
        <v>135</v>
      </c>
      <c r="G137" s="3">
        <f t="shared" si="8"/>
        <v>6.6298322720385217E-2</v>
      </c>
      <c r="H137" s="3">
        <f t="shared" si="9"/>
        <v>0.38237256808712655</v>
      </c>
      <c r="I137" s="3">
        <f t="shared" si="10"/>
        <v>0.55132910919248668</v>
      </c>
      <c r="J137" s="3">
        <f t="shared" si="11"/>
        <v>0.44867089080751332</v>
      </c>
    </row>
    <row r="138" spans="6:10" ht="15.75" customHeight="1" x14ac:dyDescent="0.25">
      <c r="F138" s="2">
        <v>136</v>
      </c>
      <c r="G138" s="3">
        <f t="shared" si="8"/>
        <v>6.497898609824955E-2</v>
      </c>
      <c r="H138" s="3">
        <f t="shared" si="9"/>
        <v>0.37986154919611892</v>
      </c>
      <c r="I138" s="3">
        <f t="shared" si="10"/>
        <v>0.55515946470562993</v>
      </c>
      <c r="J138" s="3">
        <f t="shared" si="11"/>
        <v>0.44484053529437007</v>
      </c>
    </row>
    <row r="139" spans="6:10" ht="15.75" customHeight="1" x14ac:dyDescent="0.25">
      <c r="F139" s="2">
        <v>137</v>
      </c>
      <c r="G139" s="3">
        <f t="shared" si="8"/>
        <v>6.3685904274894387E-2</v>
      </c>
      <c r="H139" s="3">
        <f t="shared" si="9"/>
        <v>0.37734951762890306</v>
      </c>
      <c r="I139" s="3">
        <f t="shared" si="10"/>
        <v>0.55896457809620093</v>
      </c>
      <c r="J139" s="3">
        <f t="shared" si="11"/>
        <v>0.44103542190379907</v>
      </c>
    </row>
    <row r="140" spans="6:10" ht="15.75" customHeight="1" x14ac:dyDescent="0.25">
      <c r="F140" s="2">
        <v>138</v>
      </c>
      <c r="G140" s="3">
        <f t="shared" si="8"/>
        <v>6.2418554779823984E-2</v>
      </c>
      <c r="H140" s="3">
        <f t="shared" si="9"/>
        <v>0.37483700335725689</v>
      </c>
      <c r="I140" s="3">
        <f t="shared" si="10"/>
        <v>0.5627444418629175</v>
      </c>
      <c r="J140" s="3">
        <f t="shared" si="11"/>
        <v>0.4372555581370825</v>
      </c>
    </row>
    <row r="141" spans="6:10" ht="15.75" customHeight="1" x14ac:dyDescent="0.25">
      <c r="F141" s="2">
        <v>139</v>
      </c>
      <c r="G141" s="3">
        <f t="shared" si="8"/>
        <v>6.1176425539705488E-2</v>
      </c>
      <c r="H141" s="3">
        <f t="shared" si="9"/>
        <v>0.37232452070832484</v>
      </c>
      <c r="I141" s="3">
        <f t="shared" si="10"/>
        <v>0.56649905375196807</v>
      </c>
      <c r="J141" s="3">
        <f t="shared" si="11"/>
        <v>0.43350094624803193</v>
      </c>
    </row>
    <row r="142" spans="6:10" ht="15.75" customHeight="1" x14ac:dyDescent="0.25">
      <c r="F142" s="2">
        <v>140</v>
      </c>
      <c r="G142" s="3">
        <f t="shared" si="8"/>
        <v>5.9959014671465347E-2</v>
      </c>
      <c r="H142" s="3">
        <f t="shared" si="9"/>
        <v>0.3698125687269278</v>
      </c>
      <c r="I142" s="3">
        <f t="shared" si="10"/>
        <v>0.57022841660160528</v>
      </c>
      <c r="J142" s="3">
        <f t="shared" si="11"/>
        <v>0.42977158339839472</v>
      </c>
    </row>
    <row r="143" spans="6:10" ht="15.75" customHeight="1" x14ac:dyDescent="0.25">
      <c r="F143" s="2">
        <v>141</v>
      </c>
      <c r="G143" s="3">
        <f t="shared" si="8"/>
        <v>5.8765830279503183E-2</v>
      </c>
      <c r="H143" s="3">
        <f t="shared" si="9"/>
        <v>0.36730163153015355</v>
      </c>
      <c r="I143" s="3">
        <f t="shared" si="10"/>
        <v>0.57393253819034173</v>
      </c>
      <c r="J143" s="3">
        <f t="shared" si="11"/>
        <v>0.42606746180965827</v>
      </c>
    </row>
    <row r="144" spans="6:10" ht="15.75" customHeight="1" x14ac:dyDescent="0.25">
      <c r="F144" s="2">
        <v>142</v>
      </c>
      <c r="G144" s="3">
        <f t="shared" si="8"/>
        <v>5.759639025694107E-2</v>
      </c>
      <c r="H144" s="3">
        <f t="shared" si="9"/>
        <v>0.36479217865438618</v>
      </c>
      <c r="I144" s="3">
        <f t="shared" si="10"/>
        <v>0.57761143108867119</v>
      </c>
      <c r="J144" s="3">
        <f t="shared" si="11"/>
        <v>0.42238856891132881</v>
      </c>
    </row>
    <row r="145" spans="6:10" ht="15.75" customHeight="1" x14ac:dyDescent="0.25">
      <c r="F145" s="2">
        <v>143</v>
      </c>
      <c r="G145" s="3">
        <f t="shared" si="8"/>
        <v>5.6450222090827944E-2</v>
      </c>
      <c r="H145" s="3">
        <f t="shared" si="9"/>
        <v>0.36228466539492971</v>
      </c>
      <c r="I145" s="3">
        <f t="shared" si="10"/>
        <v>0.58126511251424073</v>
      </c>
      <c r="J145" s="3">
        <f t="shared" si="11"/>
        <v>0.41873488748575927</v>
      </c>
    </row>
    <row r="146" spans="6:10" ht="15.75" customHeight="1" x14ac:dyDescent="0.25">
      <c r="F146" s="2">
        <v>144</v>
      </c>
      <c r="G146" s="3">
        <f t="shared" si="8"/>
        <v>5.5326862671220466E-2</v>
      </c>
      <c r="H146" s="3">
        <f t="shared" si="9"/>
        <v>0.35977953313837879</v>
      </c>
      <c r="I146" s="3">
        <f t="shared" si="10"/>
        <v>0.58489360419039915</v>
      </c>
      <c r="J146" s="3">
        <f t="shared" si="11"/>
        <v>0.41510639580960085</v>
      </c>
    </row>
    <row r="147" spans="6:10" ht="15.75" customHeight="1" x14ac:dyDescent="0.25">
      <c r="F147" s="2">
        <v>145</v>
      </c>
      <c r="G147" s="3">
        <f t="shared" si="8"/>
        <v>5.4225858104063177E-2</v>
      </c>
      <c r="H147" s="3">
        <f t="shared" si="9"/>
        <v>0.35727720968788518</v>
      </c>
      <c r="I147" s="3">
        <f t="shared" si="10"/>
        <v>0.58849693220805011</v>
      </c>
      <c r="J147" s="3">
        <f t="shared" si="11"/>
        <v>0.41150306779194989</v>
      </c>
    </row>
    <row r="148" spans="6:10" ht="15.75" customHeight="1" x14ac:dyDescent="0.25">
      <c r="F148" s="2">
        <v>146</v>
      </c>
      <c r="G148" s="3">
        <f t="shared" si="8"/>
        <v>5.3146763527792316E-2</v>
      </c>
      <c r="H148" s="3">
        <f t="shared" si="9"/>
        <v>0.35477810958146677</v>
      </c>
      <c r="I148" s="3">
        <f t="shared" si="10"/>
        <v>0.59207512689073938</v>
      </c>
      <c r="J148" s="3">
        <f t="shared" si="11"/>
        <v>0.40792487310926062</v>
      </c>
    </row>
    <row r="149" spans="6:10" ht="15.75" customHeight="1" x14ac:dyDescent="0.25">
      <c r="F149" s="2">
        <v>147</v>
      </c>
      <c r="G149" s="3">
        <f t="shared" si="8"/>
        <v>5.2089142933589246E-2</v>
      </c>
      <c r="H149" s="3">
        <f t="shared" si="9"/>
        <v>0.35228263440350238</v>
      </c>
      <c r="I149" s="3">
        <f t="shared" si="10"/>
        <v>0.59562822266290683</v>
      </c>
      <c r="J149" s="3">
        <f t="shared" si="11"/>
        <v>0.40437177733709317</v>
      </c>
    </row>
    <row r="150" spans="6:10" ht="15.75" customHeight="1" x14ac:dyDescent="0.25">
      <c r="F150" s="2">
        <v>148</v>
      </c>
      <c r="G150" s="3">
        <f t="shared" si="8"/>
        <v>5.1052568989210817E-2</v>
      </c>
      <c r="H150" s="3">
        <f t="shared" si="9"/>
        <v>0.34979117308955243</v>
      </c>
      <c r="I150" s="3">
        <f t="shared" si="10"/>
        <v>0.59915625792123517</v>
      </c>
      <c r="J150" s="3">
        <f t="shared" si="11"/>
        <v>0.40084374207876483</v>
      </c>
    </row>
    <row r="151" spans="6:10" ht="15.75" customHeight="1" x14ac:dyDescent="0.25">
      <c r="F151" s="2">
        <v>149</v>
      </c>
      <c r="G151" s="3">
        <f t="shared" si="8"/>
        <v>5.0036622866325521E-2</v>
      </c>
      <c r="H151" s="3">
        <f t="shared" si="9"/>
        <v>0.34730410222464325</v>
      </c>
      <c r="I151" s="3">
        <f t="shared" si="10"/>
        <v>0.6026592749090296</v>
      </c>
      <c r="J151" s="3">
        <f t="shared" si="11"/>
        <v>0.3973407250909704</v>
      </c>
    </row>
    <row r="152" spans="6:10" ht="15.75" customHeight="1" x14ac:dyDescent="0.25">
      <c r="F152" s="2">
        <v>150</v>
      </c>
      <c r="G152" s="3">
        <f t="shared" si="8"/>
        <v>4.9040894071285639E-2</v>
      </c>
      <c r="H152" s="3">
        <f t="shared" si="9"/>
        <v>0.34482178633515004</v>
      </c>
      <c r="I152" s="3">
        <f t="shared" si="10"/>
        <v>0.60613731959356265</v>
      </c>
      <c r="J152" s="3">
        <f t="shared" si="11"/>
        <v>0.39386268040643735</v>
      </c>
    </row>
    <row r="153" spans="6:10" ht="15.75" customHeight="1" x14ac:dyDescent="0.25">
      <c r="F153" s="2">
        <v>151</v>
      </c>
      <c r="G153" s="3">
        <f t="shared" si="8"/>
        <v>4.8064980279267054E-2</v>
      </c>
      <c r="H153" s="3">
        <f t="shared" si="9"/>
        <v>0.34234457817441</v>
      </c>
      <c r="I153" s="3">
        <f t="shared" si="10"/>
        <v>0.60959044154632125</v>
      </c>
      <c r="J153" s="3">
        <f t="shared" si="11"/>
        <v>0.39040955845367875</v>
      </c>
    </row>
    <row r="154" spans="6:10" ht="15.75" customHeight="1" x14ac:dyDescent="0.25">
      <c r="F154" s="2">
        <v>152</v>
      </c>
      <c r="G154" s="3">
        <f t="shared" si="8"/>
        <v>4.7108487171709637E-2</v>
      </c>
      <c r="H154" s="3">
        <f t="shared" si="9"/>
        <v>0.3398728190021954</v>
      </c>
      <c r="I154" s="3">
        <f t="shared" si="10"/>
        <v>0.61301869382609331</v>
      </c>
      <c r="J154" s="3">
        <f t="shared" si="11"/>
        <v>0.38698130617390669</v>
      </c>
    </row>
    <row r="155" spans="6:10" ht="15.75" customHeight="1" x14ac:dyDescent="0.25">
      <c r="F155" s="2">
        <v>153</v>
      </c>
      <c r="G155" s="3">
        <f t="shared" si="8"/>
        <v>4.6171028276992612E-2</v>
      </c>
      <c r="H155" s="3">
        <f t="shared" si="9"/>
        <v>0.3374068388581733</v>
      </c>
      <c r="I155" s="3">
        <f t="shared" si="10"/>
        <v>0.61642213286483238</v>
      </c>
      <c r="J155" s="3">
        <f t="shared" si="11"/>
        <v>0.38357786713516762</v>
      </c>
    </row>
    <row r="156" spans="6:10" ht="15.75" customHeight="1" x14ac:dyDescent="0.25">
      <c r="F156" s="2">
        <v>154</v>
      </c>
      <c r="G156" s="3">
        <f t="shared" si="8"/>
        <v>4.5252224814280456E-2</v>
      </c>
      <c r="H156" s="3">
        <f t="shared" si="9"/>
        <v>0.33494695682947601</v>
      </c>
      <c r="I156" s="3">
        <f t="shared" si="10"/>
        <v>0.61980081835624179</v>
      </c>
      <c r="J156" s="3">
        <f t="shared" si="11"/>
        <v>0.38019918164375821</v>
      </c>
    </row>
    <row r="157" spans="6:10" ht="15.75" customHeight="1" x14ac:dyDescent="0.25">
      <c r="F157" s="2">
        <v>155</v>
      </c>
      <c r="G157" s="3">
        <f t="shared" si="8"/>
        <v>4.4351705540476273E-2</v>
      </c>
      <c r="H157" s="3">
        <f t="shared" si="9"/>
        <v>0.332493481312504</v>
      </c>
      <c r="I157" s="3">
        <f t="shared" si="10"/>
        <v>0.62315481314701793</v>
      </c>
      <c r="J157" s="3">
        <f t="shared" si="11"/>
        <v>0.37684518685298207</v>
      </c>
    </row>
    <row r="158" spans="6:10" ht="15.75" customHeight="1" x14ac:dyDescent="0.25">
      <c r="F158" s="2">
        <v>156</v>
      </c>
      <c r="G158" s="3">
        <f t="shared" si="8"/>
        <v>4.3469106600220797E-2</v>
      </c>
      <c r="H158" s="3">
        <f t="shared" si="9"/>
        <v>0.33004671026908039</v>
      </c>
      <c r="I158" s="3">
        <f t="shared" si="10"/>
        <v>0.62648418313069698</v>
      </c>
      <c r="J158" s="3">
        <f t="shared" si="11"/>
        <v>0.37351581686930302</v>
      </c>
    </row>
    <row r="159" spans="6:10" ht="15.75" customHeight="1" x14ac:dyDescent="0.25">
      <c r="F159" s="2">
        <v>157</v>
      </c>
      <c r="G159" s="3">
        <f t="shared" si="8"/>
        <v>4.2604071378876403E-2</v>
      </c>
      <c r="H159" s="3">
        <f t="shared" si="9"/>
        <v>0.32760693147707393</v>
      </c>
      <c r="I159" s="3">
        <f t="shared" si="10"/>
        <v>0.62978899714404779</v>
      </c>
      <c r="J159" s="3">
        <f t="shared" si="11"/>
        <v>0.37021100285595221</v>
      </c>
    </row>
    <row r="160" spans="6:10" ht="15.75" customHeight="1" x14ac:dyDescent="0.25">
      <c r="F160" s="2">
        <v>158</v>
      </c>
      <c r="G160" s="3">
        <f t="shared" si="8"/>
        <v>4.1756250358436761E-2</v>
      </c>
      <c r="H160" s="3">
        <f t="shared" si="9"/>
        <v>0.32517442277560493</v>
      </c>
      <c r="I160" s="3">
        <f t="shared" si="10"/>
        <v>0.63306932686595641</v>
      </c>
      <c r="J160" s="3">
        <f t="shared" si="11"/>
        <v>0.36693067313404359</v>
      </c>
    </row>
    <row r="161" spans="6:10" ht="15.75" customHeight="1" x14ac:dyDescent="0.25">
      <c r="F161" s="2">
        <v>159</v>
      </c>
      <c r="G161" s="3">
        <f t="shared" si="8"/>
        <v>4.0925300976303869E-2</v>
      </c>
      <c r="H161" s="3">
        <f t="shared" si="9"/>
        <v>0.32274945230494595</v>
      </c>
      <c r="I161" s="3">
        <f t="shared" si="10"/>
        <v>0.63632524671874835</v>
      </c>
      <c r="J161" s="3">
        <f t="shared" si="11"/>
        <v>0.36367475328125165</v>
      </c>
    </row>
    <row r="162" spans="6:10" ht="15.75" customHeight="1" x14ac:dyDescent="0.25">
      <c r="F162" s="2">
        <v>160</v>
      </c>
      <c r="G162" s="3">
        <f t="shared" si="8"/>
        <v>4.011088748687542E-2</v>
      </c>
      <c r="H162" s="3">
        <f t="shared" si="9"/>
        <v>0.32033227874122727</v>
      </c>
      <c r="I162" s="3">
        <f t="shared" si="10"/>
        <v>0.63955683377189543</v>
      </c>
      <c r="J162" s="3">
        <f t="shared" si="11"/>
        <v>0.36044316622810457</v>
      </c>
    </row>
    <row r="163" spans="6:10" ht="15.75" customHeight="1" x14ac:dyDescent="0.25">
      <c r="F163" s="2">
        <v>161</v>
      </c>
      <c r="G163" s="3">
        <f t="shared" si="8"/>
        <v>3.9312680825886598E-2</v>
      </c>
      <c r="H163" s="3">
        <f t="shared" si="9"/>
        <v>0.31792315152605516</v>
      </c>
      <c r="I163" s="3">
        <f t="shared" si="10"/>
        <v>0.64276416764805644</v>
      </c>
      <c r="J163" s="3">
        <f t="shared" si="11"/>
        <v>0.35723583235194356</v>
      </c>
    </row>
    <row r="164" spans="6:10" ht="15.75" customHeight="1" x14ac:dyDescent="0.25">
      <c r="F164" s="2">
        <v>162</v>
      </c>
      <c r="G164" s="3">
        <f t="shared" si="8"/>
        <v>3.8530358477451454E-2</v>
      </c>
      <c r="H164" s="3">
        <f t="shared" si="9"/>
        <v>0.31552231109114715</v>
      </c>
      <c r="I164" s="3">
        <f t="shared" si="10"/>
        <v>0.64594733043139962</v>
      </c>
      <c r="J164" s="3">
        <f t="shared" si="11"/>
        <v>0.35405266956860038</v>
      </c>
    </row>
    <row r="165" spans="6:10" ht="15.75" customHeight="1" x14ac:dyDescent="0.25">
      <c r="F165" s="2">
        <v>163</v>
      </c>
      <c r="G165" s="3">
        <f t="shared" si="8"/>
        <v>3.7763604343750166E-2</v>
      </c>
      <c r="H165" s="3">
        <f t="shared" si="9"/>
        <v>0.3131299890780892</v>
      </c>
      <c r="I165" s="3">
        <f t="shared" si="10"/>
        <v>0.64910640657815888</v>
      </c>
      <c r="J165" s="3">
        <f t="shared" si="11"/>
        <v>0.35089359342184112</v>
      </c>
    </row>
    <row r="166" spans="6:10" ht="15.75" customHeight="1" x14ac:dyDescent="0.25">
      <c r="F166" s="2">
        <v>164</v>
      </c>
      <c r="G166" s="3">
        <f t="shared" si="8"/>
        <v>3.7012108617309539E-2</v>
      </c>
      <c r="H166" s="3">
        <f t="shared" si="9"/>
        <v>0.31074640855331459</v>
      </c>
      <c r="I166" s="3">
        <f t="shared" si="10"/>
        <v>0.65224148282937411</v>
      </c>
      <c r="J166" s="3">
        <f t="shared" si="11"/>
        <v>0.34775851717062589</v>
      </c>
    </row>
    <row r="167" spans="6:10" ht="15.75" customHeight="1" x14ac:dyDescent="0.25">
      <c r="F167" s="2">
        <v>165</v>
      </c>
      <c r="G167" s="3">
        <f t="shared" si="8"/>
        <v>3.6275567655825076E-2</v>
      </c>
      <c r="H167" s="3">
        <f t="shared" si="9"/>
        <v>0.30837178421840417</v>
      </c>
      <c r="I167" s="3">
        <f t="shared" si="10"/>
        <v>0.65535264812576899</v>
      </c>
      <c r="J167" s="3">
        <f t="shared" si="11"/>
        <v>0.34464735187423101</v>
      </c>
    </row>
    <row r="168" spans="6:10" ht="15.75" customHeight="1" x14ac:dyDescent="0.25">
      <c r="F168" s="2">
        <v>166</v>
      </c>
      <c r="G168" s="3">
        <f t="shared" si="8"/>
        <v>3.5553683859474154E-2</v>
      </c>
      <c r="H168" s="3">
        <f t="shared" si="9"/>
        <v>0.30600632261580546</v>
      </c>
      <c r="I168" s="3">
        <f t="shared" si="10"/>
        <v>0.6584399935247186</v>
      </c>
      <c r="J168" s="3">
        <f t="shared" si="11"/>
        <v>0.3415600064752814</v>
      </c>
    </row>
    <row r="169" spans="6:10" ht="15.75" customHeight="1" x14ac:dyDescent="0.25">
      <c r="F169" s="2">
        <v>167</v>
      </c>
      <c r="G169" s="3">
        <f t="shared" si="8"/>
        <v>3.4846165550670619E-2</v>
      </c>
      <c r="H169" s="3">
        <f t="shared" si="9"/>
        <v>0.303650222330065</v>
      </c>
      <c r="I169" s="3">
        <f t="shared" si="10"/>
        <v>0.66150361211926256</v>
      </c>
      <c r="J169" s="3">
        <f t="shared" si="11"/>
        <v>0.33849638788073744</v>
      </c>
    </row>
    <row r="170" spans="6:10" ht="15.75" customHeight="1" x14ac:dyDescent="0.25">
      <c r="F170" s="2">
        <v>168</v>
      </c>
      <c r="G170" s="3">
        <f t="shared" si="8"/>
        <v>3.4152726856212269E-2</v>
      </c>
      <c r="H170" s="3">
        <f t="shared" si="9"/>
        <v>0.30130367418466764</v>
      </c>
      <c r="I170" s="3">
        <f t="shared" si="10"/>
        <v>0.6645435989591183</v>
      </c>
      <c r="J170" s="3">
        <f t="shared" si="11"/>
        <v>0.3354564010408817</v>
      </c>
    </row>
    <row r="171" spans="6:10" ht="15.75" customHeight="1" x14ac:dyDescent="0.25">
      <c r="F171" s="2">
        <v>169</v>
      </c>
      <c r="G171" s="3">
        <f t="shared" si="8"/>
        <v>3.3473087591773643E-2</v>
      </c>
      <c r="H171" s="3">
        <f t="shared" si="9"/>
        <v>0.29896686143457396</v>
      </c>
      <c r="I171" s="3">
        <f t="shared" si="10"/>
        <v>0.66756005097365056</v>
      </c>
      <c r="J171" s="3">
        <f t="shared" si="11"/>
        <v>0.33243994902634944</v>
      </c>
    </row>
    <row r="172" spans="6:10" ht="15.75" customHeight="1" x14ac:dyDescent="0.25">
      <c r="F172" s="2">
        <v>170</v>
      </c>
      <c r="G172" s="3">
        <f t="shared" si="8"/>
        <v>3.2806973148697349E-2</v>
      </c>
      <c r="H172" s="3">
        <f t="shared" si="9"/>
        <v>0.29663995995454534</v>
      </c>
      <c r="I172" s="3">
        <f t="shared" si="10"/>
        <v>0.67055306689675553</v>
      </c>
      <c r="J172" s="3">
        <f t="shared" si="11"/>
        <v>0.32944693310324447</v>
      </c>
    </row>
    <row r="173" spans="6:10" ht="15.75" customHeight="1" x14ac:dyDescent="0.25">
      <c r="F173" s="2">
        <v>171</v>
      </c>
      <c r="G173" s="3">
        <f t="shared" si="8"/>
        <v>3.2154114383038272E-2</v>
      </c>
      <c r="H173" s="3">
        <f t="shared" si="9"/>
        <v>0.29432313842334407</v>
      </c>
      <c r="I173" s="3">
        <f t="shared" si="10"/>
        <v>0.67352274719361582</v>
      </c>
      <c r="J173" s="3">
        <f t="shared" si="11"/>
        <v>0.32647725280638418</v>
      </c>
    </row>
    <row r="174" spans="6:10" ht="15.75" customHeight="1" x14ac:dyDescent="0.25">
      <c r="F174" s="2">
        <v>172</v>
      </c>
      <c r="G174" s="3">
        <f t="shared" si="8"/>
        <v>3.1514247506815807E-2</v>
      </c>
      <c r="H174" s="3">
        <f t="shared" si="9"/>
        <v>0.29201655850389474</v>
      </c>
      <c r="I174" s="3">
        <f t="shared" si="10"/>
        <v>0.67646919398928762</v>
      </c>
      <c r="J174" s="3">
        <f t="shared" si="11"/>
        <v>0.32353080601071238</v>
      </c>
    </row>
    <row r="175" spans="6:10" ht="15.75" customHeight="1" x14ac:dyDescent="0.25">
      <c r="F175" s="2">
        <v>173</v>
      </c>
      <c r="G175" s="3">
        <f t="shared" si="8"/>
        <v>3.0887113981430171E-2</v>
      </c>
      <c r="H175" s="3">
        <f t="shared" si="9"/>
        <v>0.28972037501949077</v>
      </c>
      <c r="I175" s="3">
        <f t="shared" si="10"/>
        <v>0.67939251099907727</v>
      </c>
      <c r="J175" s="3">
        <f t="shared" si="11"/>
        <v>0.32060748900092273</v>
      </c>
    </row>
    <row r="176" spans="6:10" ht="15.75" customHeight="1" x14ac:dyDescent="0.25">
      <c r="F176" s="2">
        <v>174</v>
      </c>
      <c r="G176" s="3">
        <f t="shared" si="8"/>
        <v>3.0272460413199708E-2</v>
      </c>
      <c r="H176" s="3">
        <f t="shared" si="9"/>
        <v>0.28743473612612819</v>
      </c>
      <c r="I176" s="3">
        <f t="shared" si="10"/>
        <v>0.68229280346067034</v>
      </c>
      <c r="J176" s="3">
        <f t="shared" si="11"/>
        <v>0.31770719653932966</v>
      </c>
    </row>
    <row r="177" spans="6:10" ht="15.75" customHeight="1" x14ac:dyDescent="0.25">
      <c r="F177" s="2">
        <v>175</v>
      </c>
      <c r="G177" s="3">
        <f t="shared" si="8"/>
        <v>2.9670038450977033E-2</v>
      </c>
      <c r="H177" s="3">
        <f t="shared" si="9"/>
        <v>0.28515978348104826</v>
      </c>
      <c r="I177" s="3">
        <f t="shared" si="10"/>
        <v>0.68517017806797298</v>
      </c>
      <c r="J177" s="3">
        <f t="shared" si="11"/>
        <v>0.31482982193202702</v>
      </c>
    </row>
    <row r="178" spans="6:10" ht="15.75" customHeight="1" x14ac:dyDescent="0.25">
      <c r="F178" s="2">
        <v>176</v>
      </c>
      <c r="G178" s="3">
        <f t="shared" si="8"/>
        <v>2.907960468580259E-2</v>
      </c>
      <c r="H178" s="3">
        <f t="shared" si="9"/>
        <v>0.28289565240756714</v>
      </c>
      <c r="I178" s="3">
        <f t="shared" si="10"/>
        <v>0.68802474290662852</v>
      </c>
      <c r="J178" s="3">
        <f t="shared" si="11"/>
        <v>0.31197525709337148</v>
      </c>
    </row>
    <row r="179" spans="6:10" ht="15.75" customHeight="1" x14ac:dyDescent="0.25">
      <c r="F179" s="2">
        <v>177</v>
      </c>
      <c r="G179" s="3">
        <f t="shared" si="8"/>
        <v>2.8500920552555119E-2</v>
      </c>
      <c r="H179" s="3">
        <f t="shared" si="9"/>
        <v>0.28064247205627035</v>
      </c>
      <c r="I179" s="3">
        <f t="shared" si="10"/>
        <v>0.69085660739117272</v>
      </c>
      <c r="J179" s="3">
        <f t="shared" si="11"/>
        <v>0.30914339260882728</v>
      </c>
    </row>
    <row r="180" spans="6:10" ht="15.75" customHeight="1" x14ac:dyDescent="0.25">
      <c r="F180" s="2">
        <v>178</v>
      </c>
      <c r="G180" s="3">
        <f t="shared" si="8"/>
        <v>2.7933752233559272E-2</v>
      </c>
      <c r="H180" s="3">
        <f t="shared" si="9"/>
        <v>0.27840036556264824</v>
      </c>
      <c r="I180" s="3">
        <f t="shared" si="10"/>
        <v>0.69366588220379066</v>
      </c>
      <c r="J180" s="3">
        <f t="shared" si="11"/>
        <v>0.30633411779620934</v>
      </c>
    </row>
    <row r="181" spans="6:10" ht="15.75" customHeight="1" x14ac:dyDescent="0.25">
      <c r="F181" s="2">
        <v>179</v>
      </c>
      <c r="G181" s="3">
        <f t="shared" si="8"/>
        <v>2.737787056411144E-2</v>
      </c>
      <c r="H181" s="3">
        <f t="shared" si="9"/>
        <v>0.27616945020124622</v>
      </c>
      <c r="I181" s="3">
        <f t="shared" si="10"/>
        <v>0.69645267923464049</v>
      </c>
      <c r="J181" s="3">
        <f t="shared" si="11"/>
        <v>0.30354732076535951</v>
      </c>
    </row>
    <row r="182" spans="6:10" ht="15.75" customHeight="1" x14ac:dyDescent="0.25">
      <c r="F182" s="2">
        <v>180</v>
      </c>
      <c r="G182" s="3">
        <f t="shared" si="8"/>
        <v>2.6833050939885621E-2</v>
      </c>
      <c r="H182" s="3">
        <f t="shared" si="9"/>
        <v>0.27394983753640317</v>
      </c>
      <c r="I182" s="3">
        <f t="shared" si="10"/>
        <v>0.69921711152370936</v>
      </c>
      <c r="J182" s="3">
        <f t="shared" si="11"/>
        <v>0.30078288847629064</v>
      </c>
    </row>
    <row r="183" spans="6:10" ht="15.75" customHeight="1" x14ac:dyDescent="0.25">
      <c r="F183" s="2">
        <v>181</v>
      </c>
      <c r="G183" s="3">
        <f t="shared" si="8"/>
        <v>2.6299073226181895E-2</v>
      </c>
      <c r="H183" s="3">
        <f t="shared" si="9"/>
        <v>0.27174163356964887</v>
      </c>
      <c r="I183" s="3">
        <f t="shared" si="10"/>
        <v>0.70195929320416739</v>
      </c>
      <c r="J183" s="3">
        <f t="shared" si="11"/>
        <v>0.29804070679583261</v>
      </c>
    </row>
    <row r="184" spans="6:10" ht="15.75" customHeight="1" x14ac:dyDescent="0.25">
      <c r="F184" s="2">
        <v>182</v>
      </c>
      <c r="G184" s="3">
        <f t="shared" si="8"/>
        <v>2.5775721668980876E-2</v>
      </c>
      <c r="H184" s="3">
        <f t="shared" si="9"/>
        <v>0.26954493888383074</v>
      </c>
      <c r="I184" s="3">
        <f t="shared" si="10"/>
        <v>0.70467933944718653</v>
      </c>
      <c r="J184" s="3">
        <f t="shared" si="11"/>
        <v>0.29532066055281347</v>
      </c>
    </row>
    <row r="185" spans="6:10" ht="15.75" customHeight="1" x14ac:dyDescent="0.25">
      <c r="F185" s="2">
        <v>183</v>
      </c>
      <c r="G185" s="3">
        <f t="shared" si="8"/>
        <v>2.5262784807768154E-2</v>
      </c>
      <c r="H185" s="3">
        <f t="shared" si="9"/>
        <v>0.26735984878403823</v>
      </c>
      <c r="I185" s="3">
        <f t="shared" si="10"/>
        <v>0.70737736640819171</v>
      </c>
      <c r="J185" s="3">
        <f t="shared" si="11"/>
        <v>0.29262263359180829</v>
      </c>
    </row>
    <row r="186" spans="6:10" ht="15.75" customHeight="1" x14ac:dyDescent="0.25">
      <c r="F186" s="2">
        <v>184</v>
      </c>
      <c r="G186" s="3">
        <f t="shared" si="8"/>
        <v>2.4760055390093568E-2</v>
      </c>
      <c r="H186" s="3">
        <f t="shared" si="9"/>
        <v>0.26518645343539166</v>
      </c>
      <c r="I186" s="3">
        <f t="shared" si="10"/>
        <v>0.71005349117451289</v>
      </c>
      <c r="J186" s="3">
        <f t="shared" si="11"/>
        <v>0.28994650882548711</v>
      </c>
    </row>
    <row r="187" spans="6:10" ht="15.75" customHeight="1" x14ac:dyDescent="0.25">
      <c r="F187" s="2">
        <v>185</v>
      </c>
      <c r="G187" s="3">
        <f t="shared" si="8"/>
        <v>2.4267330287830704E-2</v>
      </c>
      <c r="H187" s="3">
        <f t="shared" si="9"/>
        <v>0.26302483799776161</v>
      </c>
      <c r="I187" s="3">
        <f t="shared" si="10"/>
        <v>0.71270783171440577</v>
      </c>
      <c r="J187" s="3">
        <f t="shared" si="11"/>
        <v>0.28729216828559423</v>
      </c>
    </row>
    <row r="188" spans="6:10" ht="15.75" customHeight="1" x14ac:dyDescent="0.25">
      <c r="F188" s="2">
        <v>186</v>
      </c>
      <c r="G188" s="3">
        <f t="shared" si="8"/>
        <v>2.3784410415102871E-2</v>
      </c>
      <c r="H188" s="3">
        <f t="shared" si="9"/>
        <v>0.26087508275748306</v>
      </c>
      <c r="I188" s="3">
        <f t="shared" si="10"/>
        <v>0.71534050682741213</v>
      </c>
      <c r="J188" s="3">
        <f t="shared" si="11"/>
        <v>0.28465949317258787</v>
      </c>
    </row>
    <row r="189" spans="6:10" ht="15.75" customHeight="1" x14ac:dyDescent="0.25">
      <c r="F189" s="2">
        <v>187</v>
      </c>
      <c r="G189" s="3">
        <f t="shared" si="8"/>
        <v>2.3311100647842323E-2</v>
      </c>
      <c r="H189" s="3">
        <f t="shared" si="9"/>
        <v>0.25873726325612728</v>
      </c>
      <c r="I189" s="3">
        <f t="shared" si="10"/>
        <v>0.71795163609602841</v>
      </c>
      <c r="J189" s="3">
        <f t="shared" si="11"/>
        <v>0.28204836390397159</v>
      </c>
    </row>
    <row r="190" spans="6:10" ht="15.75" customHeight="1" x14ac:dyDescent="0.25">
      <c r="F190" s="2">
        <v>188</v>
      </c>
      <c r="G190" s="3">
        <f t="shared" si="8"/>
        <v>2.2847209744950261E-2</v>
      </c>
      <c r="H190" s="3">
        <f t="shared" si="9"/>
        <v>0.25661145041639333</v>
      </c>
      <c r="I190" s="3">
        <f t="shared" si="10"/>
        <v>0.72054133983865443</v>
      </c>
      <c r="J190" s="3">
        <f t="shared" si="11"/>
        <v>0.27945866016134557</v>
      </c>
    </row>
    <row r="191" spans="6:10" ht="15.75" customHeight="1" x14ac:dyDescent="0.25">
      <c r="F191" s="2">
        <v>189</v>
      </c>
      <c r="G191" s="3">
        <f t="shared" si="8"/>
        <v>2.2392550271025751E-2</v>
      </c>
      <c r="H191" s="3">
        <f t="shared" si="9"/>
        <v>0.2544977106651794</v>
      </c>
      <c r="I191" s="3">
        <f t="shared" si="10"/>
        <v>0.72310973906379283</v>
      </c>
      <c r="J191" s="3">
        <f t="shared" si="11"/>
        <v>0.27689026093620717</v>
      </c>
    </row>
    <row r="192" spans="6:10" ht="15.75" customHeight="1" x14ac:dyDescent="0.25">
      <c r="F192" s="2">
        <v>190</v>
      </c>
      <c r="G192" s="3">
        <f t="shared" si="8"/>
        <v>2.1946938520632338E-2</v>
      </c>
      <c r="H192" s="3">
        <f t="shared" si="9"/>
        <v>0.2523961060538939</v>
      </c>
      <c r="I192" s="3">
        <f t="shared" si="10"/>
        <v>0.72565695542547171</v>
      </c>
      <c r="J192" s="3">
        <f t="shared" si="11"/>
        <v>0.27434304457452829</v>
      </c>
    </row>
    <row r="193" spans="6:10" ht="15.75" customHeight="1" x14ac:dyDescent="0.25">
      <c r="F193" s="2">
        <v>191</v>
      </c>
      <c r="G193" s="3">
        <f t="shared" si="8"/>
        <v>2.1510194444071755E-2</v>
      </c>
      <c r="H193" s="3">
        <f t="shared" si="9"/>
        <v>0.25030669437606345</v>
      </c>
      <c r="I193" s="3">
        <f t="shared" si="10"/>
        <v>0.72818311117986267</v>
      </c>
      <c r="J193" s="3">
        <f t="shared" si="11"/>
        <v>0.27181688882013733</v>
      </c>
    </row>
    <row r="194" spans="6:10" ht="15.75" customHeight="1" x14ac:dyDescent="0.25">
      <c r="F194" s="2">
        <v>192</v>
      </c>
      <c r="G194" s="3">
        <f t="shared" si="8"/>
        <v>2.1082141574634727E-2</v>
      </c>
      <c r="H194" s="3">
        <f t="shared" si="9"/>
        <v>0.24822952928229544</v>
      </c>
      <c r="I194" s="3">
        <f t="shared" si="10"/>
        <v>0.73068832914306769</v>
      </c>
      <c r="J194" s="3">
        <f t="shared" si="11"/>
        <v>0.26931167085693231</v>
      </c>
    </row>
    <row r="195" spans="6:10" ht="15.75" customHeight="1" x14ac:dyDescent="0.25">
      <c r="F195" s="2">
        <v>193</v>
      </c>
      <c r="G195" s="3">
        <f t="shared" ref="G195:G258" si="12">(G194*$B$5)+(H194*$B$6)+(I194*$B$7)</f>
        <v>2.0662606957299497E-2</v>
      </c>
      <c r="H195" s="3">
        <f t="shared" ref="H195:H258" si="13">(G194*$C$5)+(H194*$C$6)+(I194*$C$7)</f>
        <v>0.24616466039265025</v>
      </c>
      <c r="I195" s="3">
        <f t="shared" ref="I195:I258" si="14">(G194*$D$5)+(H194*$D$6)+(I194*$D$7)</f>
        <v>0.73317273265004812</v>
      </c>
      <c r="J195" s="3">
        <f t="shared" ref="J195:J258" si="15">1-I195</f>
        <v>0.26682726734995188</v>
      </c>
    </row>
    <row r="196" spans="6:10" ht="15.75" customHeight="1" x14ac:dyDescent="0.25">
      <c r="F196" s="2">
        <v>194</v>
      </c>
      <c r="G196" s="3">
        <f t="shared" si="12"/>
        <v>2.0251421078849235E-2</v>
      </c>
      <c r="H196" s="3">
        <f t="shared" si="13"/>
        <v>0.24411213340647828</v>
      </c>
      <c r="I196" s="3">
        <f t="shared" si="14"/>
        <v>0.73563644551467033</v>
      </c>
      <c r="J196" s="3">
        <f t="shared" si="15"/>
        <v>0.26436355448532967</v>
      </c>
    </row>
    <row r="197" spans="6:10" ht="15.75" customHeight="1" x14ac:dyDescent="0.25">
      <c r="F197" s="2">
        <v>195</v>
      </c>
      <c r="G197" s="3">
        <f t="shared" si="12"/>
        <v>1.9848417799380135E-2</v>
      </c>
      <c r="H197" s="3">
        <f t="shared" si="13"/>
        <v>0.24207199020977468</v>
      </c>
      <c r="I197" s="3">
        <f t="shared" si="14"/>
        <v>0.73807959199084305</v>
      </c>
      <c r="J197" s="3">
        <f t="shared" si="15"/>
        <v>0.26192040800915695</v>
      </c>
    </row>
    <row r="198" spans="6:10" ht="15.75" customHeight="1" x14ac:dyDescent="0.25">
      <c r="F198" s="2">
        <v>196</v>
      </c>
      <c r="G198" s="3">
        <f t="shared" si="12"/>
        <v>1.9453434285172471E-2</v>
      </c>
      <c r="H198" s="3">
        <f t="shared" si="13"/>
        <v>0.24004426898010467</v>
      </c>
      <c r="I198" s="3">
        <f t="shared" si="14"/>
        <v>0.74050229673472079</v>
      </c>
      <c r="J198" s="3">
        <f t="shared" si="15"/>
        <v>0.25949770326527921</v>
      </c>
    </row>
    <row r="199" spans="6:10" ht="15.75" customHeight="1" x14ac:dyDescent="0.25">
      <c r="F199" s="2">
        <v>197</v>
      </c>
      <c r="G199" s="3">
        <f t="shared" si="12"/>
        <v>1.9066310942897537E-2</v>
      </c>
      <c r="H199" s="3">
        <f t="shared" si="13"/>
        <v>0.23802900428915003</v>
      </c>
      <c r="I199" s="3">
        <f t="shared" si="14"/>
        <v>0.74290468476795035</v>
      </c>
      <c r="J199" s="3">
        <f t="shared" si="15"/>
        <v>0.25709531523204965</v>
      </c>
    </row>
    <row r="200" spans="6:10" ht="15.75" customHeight="1" x14ac:dyDescent="0.25">
      <c r="F200" s="2">
        <v>198</v>
      </c>
      <c r="G200" s="3">
        <f t="shared" si="12"/>
        <v>1.8686891355133874E-2</v>
      </c>
      <c r="H200" s="3">
        <f t="shared" si="13"/>
        <v>0.2360262272029279</v>
      </c>
      <c r="I200" s="3">
        <f t="shared" si="14"/>
        <v>0.74528688144193611</v>
      </c>
      <c r="J200" s="3">
        <f t="shared" si="15"/>
        <v>0.25471311855806389</v>
      </c>
    </row>
    <row r="201" spans="6:10" ht="15.75" customHeight="1" x14ac:dyDescent="0.25">
      <c r="F201" s="2">
        <v>199</v>
      </c>
      <c r="G201" s="3">
        <f t="shared" si="12"/>
        <v>1.8315022217166708E-2</v>
      </c>
      <c r="H201" s="3">
        <f t="shared" si="13"/>
        <v>0.23403596537973026</v>
      </c>
      <c r="I201" s="3">
        <f t="shared" si="14"/>
        <v>0.74764901240310089</v>
      </c>
      <c r="J201" s="3">
        <f t="shared" si="15"/>
        <v>0.25235098759689911</v>
      </c>
    </row>
    <row r="202" spans="6:10" ht="15.75" customHeight="1" x14ac:dyDescent="0.25">
      <c r="F202" s="2">
        <v>200</v>
      </c>
      <c r="G202" s="3">
        <f t="shared" si="12"/>
        <v>1.7950553275045092E-2</v>
      </c>
      <c r="H202" s="3">
        <f t="shared" si="13"/>
        <v>0.23205824316583284</v>
      </c>
      <c r="I202" s="3">
        <f t="shared" si="14"/>
        <v>0.74999120355911986</v>
      </c>
      <c r="J202" s="3">
        <f t="shared" si="15"/>
        <v>0.25000879644088014</v>
      </c>
    </row>
    <row r="203" spans="6:10" ht="15.75" customHeight="1" x14ac:dyDescent="0.25">
      <c r="F203" s="2">
        <v>201</v>
      </c>
      <c r="G203" s="3">
        <f t="shared" si="12"/>
        <v>1.7593337264871695E-2</v>
      </c>
      <c r="H203" s="3">
        <f t="shared" si="13"/>
        <v>0.2300930816890204</v>
      </c>
      <c r="I203" s="3">
        <f t="shared" si="14"/>
        <v>0.75231358104610568</v>
      </c>
      <c r="J203" s="3">
        <f t="shared" si="15"/>
        <v>0.24768641895389432</v>
      </c>
    </row>
    <row r="204" spans="6:10" ht="15.75" customHeight="1" x14ac:dyDescent="0.25">
      <c r="F204" s="2">
        <v>202</v>
      </c>
      <c r="G204" s="3">
        <f t="shared" si="12"/>
        <v>1.7243229853300748E-2</v>
      </c>
      <c r="H204" s="3">
        <f t="shared" si="13"/>
        <v>0.22814049894997465</v>
      </c>
      <c r="I204" s="3">
        <f t="shared" si="14"/>
        <v>0.75461627119672237</v>
      </c>
      <c r="J204" s="3">
        <f t="shared" si="15"/>
        <v>0.24538372880327763</v>
      </c>
    </row>
    <row r="205" spans="6:10" ht="15.75" customHeight="1" x14ac:dyDescent="0.25">
      <c r="F205" s="2">
        <v>203</v>
      </c>
      <c r="G205" s="3">
        <f t="shared" si="12"/>
        <v>1.6900089579220064E-2</v>
      </c>
      <c r="H205" s="3">
        <f t="shared" si="13"/>
        <v>0.22620050991157026</v>
      </c>
      <c r="I205" s="3">
        <f t="shared" si="14"/>
        <v>0.75689940050920745</v>
      </c>
      <c r="J205" s="3">
        <f t="shared" si="15"/>
        <v>0.24310059949079255</v>
      </c>
    </row>
    <row r="206" spans="6:10" ht="15.75" customHeight="1" x14ac:dyDescent="0.25">
      <c r="F206" s="2">
        <v>204</v>
      </c>
      <c r="G206" s="3">
        <f t="shared" si="12"/>
        <v>1.6563777796593585E-2</v>
      </c>
      <c r="H206" s="3">
        <f t="shared" si="13"/>
        <v>0.22427312658612311</v>
      </c>
      <c r="I206" s="3">
        <f t="shared" si="14"/>
        <v>0.75916309561728113</v>
      </c>
      <c r="J206" s="3">
        <f t="shared" si="15"/>
        <v>0.24083690438271887</v>
      </c>
    </row>
    <row r="207" spans="6:10" ht="15.75" customHeight="1" x14ac:dyDescent="0.25">
      <c r="F207" s="2">
        <v>205</v>
      </c>
      <c r="G207" s="3">
        <f t="shared" si="12"/>
        <v>1.6234158618441373E-2</v>
      </c>
      <c r="H207" s="3">
        <f t="shared" si="13"/>
        <v>0.22235835812063445</v>
      </c>
      <c r="I207" s="3">
        <f t="shared" si="14"/>
        <v>0.761407483260922</v>
      </c>
      <c r="J207" s="3">
        <f t="shared" si="15"/>
        <v>0.238592516739078</v>
      </c>
    </row>
    <row r="208" spans="6:10" ht="15.75" customHeight="1" x14ac:dyDescent="0.25">
      <c r="F208" s="2">
        <v>206</v>
      </c>
      <c r="G208" s="3">
        <f t="shared" si="12"/>
        <v>1.591109886193439E-2</v>
      </c>
      <c r="H208" s="3">
        <f t="shared" si="13"/>
        <v>0.22045621088007325</v>
      </c>
      <c r="I208" s="3">
        <f t="shared" si="14"/>
        <v>0.76363269025799019</v>
      </c>
      <c r="J208" s="3">
        <f t="shared" si="15"/>
        <v>0.23636730974200981</v>
      </c>
    </row>
    <row r="209" spans="6:10" ht="15.75" customHeight="1" x14ac:dyDescent="0.25">
      <c r="F209" s="2">
        <v>207</v>
      </c>
      <c r="G209" s="3">
        <f t="shared" si="12"/>
        <v>1.5594467994581895E-2</v>
      </c>
      <c r="H209" s="3">
        <f t="shared" si="13"/>
        <v>0.21856668852873881</v>
      </c>
      <c r="I209" s="3">
        <f t="shared" si="14"/>
        <v>0.76583884347667708</v>
      </c>
      <c r="J209" s="3">
        <f t="shared" si="15"/>
        <v>0.23416115652332292</v>
      </c>
    </row>
    <row r="210" spans="6:10" ht="15.75" customHeight="1" x14ac:dyDescent="0.25">
      <c r="F210" s="2">
        <v>208</v>
      </c>
      <c r="G210" s="3">
        <f t="shared" si="12"/>
        <v>1.5284138081489715E-2</v>
      </c>
      <c r="H210" s="3">
        <f t="shared" si="13"/>
        <v>0.21668979210974412</v>
      </c>
      <c r="I210" s="3">
        <f t="shared" si="14"/>
        <v>0.76802606980876398</v>
      </c>
      <c r="J210" s="3">
        <f t="shared" si="15"/>
        <v>0.23197393019123602</v>
      </c>
    </row>
    <row r="211" spans="6:10" ht="15.75" customHeight="1" x14ac:dyDescent="0.25">
      <c r="F211" s="2">
        <v>209</v>
      </c>
      <c r="G211" s="3">
        <f t="shared" si="12"/>
        <v>1.497998373366807E-2</v>
      </c>
      <c r="H211" s="3">
        <f t="shared" si="13"/>
        <v>0.21482552012266018</v>
      </c>
      <c r="I211" s="3">
        <f t="shared" si="14"/>
        <v>0.77019449614366953</v>
      </c>
      <c r="J211" s="3">
        <f t="shared" si="15"/>
        <v>0.22980550385633047</v>
      </c>
    </row>
    <row r="212" spans="6:10" ht="15.75" customHeight="1" x14ac:dyDescent="0.25">
      <c r="F212" s="2">
        <v>210</v>
      </c>
      <c r="G212" s="3">
        <f t="shared" si="12"/>
        <v>1.4681882057368074E-2</v>
      </c>
      <c r="H212" s="3">
        <f t="shared" si="13"/>
        <v>0.21297386859936021</v>
      </c>
      <c r="I212" s="3">
        <f t="shared" si="14"/>
        <v>0.77234424934326951</v>
      </c>
      <c r="J212" s="3">
        <f t="shared" si="15"/>
        <v>0.22765575065673049</v>
      </c>
    </row>
    <row r="213" spans="6:10" ht="15.75" customHeight="1" x14ac:dyDescent="0.25">
      <c r="F213" s="2">
        <v>211</v>
      </c>
      <c r="G213" s="3">
        <f t="shared" si="12"/>
        <v>1.4389712604426449E-2</v>
      </c>
      <c r="H213" s="3">
        <f t="shared" si="13"/>
        <v>0.21113483117810247</v>
      </c>
      <c r="I213" s="3">
        <f t="shared" si="14"/>
        <v>0.77447545621746883</v>
      </c>
      <c r="J213" s="3">
        <f t="shared" si="15"/>
        <v>0.22552454378253117</v>
      </c>
    </row>
    <row r="214" spans="6:10" ht="15.75" customHeight="1" x14ac:dyDescent="0.25">
      <c r="F214" s="2">
        <v>212</v>
      </c>
      <c r="G214" s="3">
        <f t="shared" si="12"/>
        <v>1.4103357323598362E-2</v>
      </c>
      <c r="H214" s="3">
        <f t="shared" si="13"/>
        <v>0.20930839917588909</v>
      </c>
      <c r="I214" s="3">
        <f t="shared" si="14"/>
        <v>0.77658824350051026</v>
      </c>
      <c r="J214" s="3">
        <f t="shared" si="15"/>
        <v>0.22341175649948974</v>
      </c>
    </row>
    <row r="215" spans="6:10" ht="15.75" customHeight="1" x14ac:dyDescent="0.25">
      <c r="F215" s="2">
        <v>213</v>
      </c>
      <c r="G215" s="3">
        <f t="shared" si="12"/>
        <v>1.3822700512858754E-2</v>
      </c>
      <c r="H215" s="3">
        <f t="shared" si="13"/>
        <v>0.20749456165913743</v>
      </c>
      <c r="I215" s="3">
        <f t="shared" si="14"/>
        <v>0.77868273782800146</v>
      </c>
      <c r="J215" s="3">
        <f t="shared" si="15"/>
        <v>0.22131726217199854</v>
      </c>
    </row>
    <row r="216" spans="6:10" ht="15.75" customHeight="1" x14ac:dyDescent="0.25">
      <c r="F216" s="2">
        <v>214</v>
      </c>
      <c r="G216" s="3">
        <f t="shared" si="12"/>
        <v>1.3547628772652864E-2</v>
      </c>
      <c r="H216" s="3">
        <f t="shared" si="13"/>
        <v>0.20569330551270065</v>
      </c>
      <c r="I216" s="3">
        <f t="shared" si="14"/>
        <v>0.78075906571464415</v>
      </c>
      <c r="J216" s="3">
        <f t="shared" si="15"/>
        <v>0.21924093428535585</v>
      </c>
    </row>
    <row r="217" spans="6:10" ht="15.75" customHeight="1" x14ac:dyDescent="0.25">
      <c r="F217" s="2">
        <v>215</v>
      </c>
      <c r="G217" s="3">
        <f t="shared" si="12"/>
        <v>1.3278030960077071E-2</v>
      </c>
      <c r="H217" s="3">
        <f t="shared" si="13"/>
        <v>0.20390461550727218</v>
      </c>
      <c r="I217" s="3">
        <f t="shared" si="14"/>
        <v>0.78281735353264847</v>
      </c>
      <c r="J217" s="3">
        <f t="shared" si="15"/>
        <v>0.21718264646735153</v>
      </c>
    </row>
    <row r="218" spans="6:10" ht="15.75" customHeight="1" x14ac:dyDescent="0.25">
      <c r="F218" s="2">
        <v>216</v>
      </c>
      <c r="G218" s="3">
        <f t="shared" si="12"/>
        <v>1.3013798143971538E-2</v>
      </c>
      <c r="H218" s="3">
        <f t="shared" si="13"/>
        <v>0.20212847436520898</v>
      </c>
      <c r="I218" s="3">
        <f t="shared" si="14"/>
        <v>0.78485772749081717</v>
      </c>
      <c r="J218" s="3">
        <f t="shared" si="15"/>
        <v>0.21514227250918283</v>
      </c>
    </row>
    <row r="219" spans="6:10" ht="15.75" customHeight="1" x14ac:dyDescent="0.25">
      <c r="F219" s="2">
        <v>217</v>
      </c>
      <c r="G219" s="3">
        <f t="shared" si="12"/>
        <v>1.2754823560906504E-2</v>
      </c>
      <c r="H219" s="3">
        <f t="shared" si="13"/>
        <v>0.2003648628248075</v>
      </c>
      <c r="I219" s="3">
        <f t="shared" si="14"/>
        <v>0.78688031361428368</v>
      </c>
      <c r="J219" s="3">
        <f t="shared" si="15"/>
        <v>0.21311968638571632</v>
      </c>
    </row>
    <row r="220" spans="6:10" ht="15.75" customHeight="1" x14ac:dyDescent="0.25">
      <c r="F220" s="2">
        <v>218</v>
      </c>
      <c r="G220" s="3">
        <f t="shared" si="12"/>
        <v>1.2501002572044465E-2</v>
      </c>
      <c r="H220" s="3">
        <f t="shared" si="13"/>
        <v>0.19861375970306536</v>
      </c>
      <c r="I220" s="3">
        <f t="shared" si="14"/>
        <v>0.78888523772488783</v>
      </c>
      <c r="J220" s="3">
        <f t="shared" si="15"/>
        <v>0.21111476227511217</v>
      </c>
    </row>
    <row r="221" spans="6:10" ht="15.75" customHeight="1" x14ac:dyDescent="0.25">
      <c r="F221" s="2">
        <v>219</v>
      </c>
      <c r="G221" s="3">
        <f t="shared" si="12"/>
        <v>1.225223262086078E-2</v>
      </c>
      <c r="H221" s="3">
        <f t="shared" si="13"/>
        <v>0.19687514195696118</v>
      </c>
      <c r="I221" s="3">
        <f t="shared" si="14"/>
        <v>0.79087262542217573</v>
      </c>
      <c r="J221" s="3">
        <f t="shared" si="15"/>
        <v>0.20912737457782427</v>
      </c>
    </row>
    <row r="222" spans="6:10" ht="15.75" customHeight="1" x14ac:dyDescent="0.25">
      <c r="F222" s="2">
        <v>220</v>
      </c>
      <c r="G222" s="3">
        <f t="shared" si="12"/>
        <v>1.200841319170565E-2</v>
      </c>
      <c r="H222" s="3">
        <f t="shared" si="13"/>
        <v>0.1951489847432846</v>
      </c>
      <c r="I222" s="3">
        <f t="shared" si="14"/>
        <v>0.79284260206500745</v>
      </c>
      <c r="J222" s="3">
        <f t="shared" si="15"/>
        <v>0.20715739793499255</v>
      </c>
    </row>
    <row r="223" spans="6:10" ht="15.75" customHeight="1" x14ac:dyDescent="0.25">
      <c r="F223" s="2">
        <v>221</v>
      </c>
      <c r="G223" s="3">
        <f t="shared" si="12"/>
        <v>1.1769445769190708E-2</v>
      </c>
      <c r="H223" s="3">
        <f t="shared" si="13"/>
        <v>0.19343526147704751</v>
      </c>
      <c r="I223" s="3">
        <f t="shared" si="14"/>
        <v>0.79479529275375949</v>
      </c>
      <c r="J223" s="3">
        <f t="shared" si="15"/>
        <v>0.20520470724624051</v>
      </c>
    </row>
    <row r="224" spans="6:10" ht="15.75" customHeight="1" x14ac:dyDescent="0.25">
      <c r="F224" s="2">
        <v>222</v>
      </c>
      <c r="G224" s="3">
        <f t="shared" si="12"/>
        <v>1.1535233798383813E-2</v>
      </c>
      <c r="H224" s="3">
        <f t="shared" si="13"/>
        <v>0.19173394388850701</v>
      </c>
      <c r="I224" s="3">
        <f t="shared" si="14"/>
        <v>0.79673082231310688</v>
      </c>
      <c r="J224" s="3">
        <f t="shared" si="15"/>
        <v>0.20326917768689312</v>
      </c>
    </row>
    <row r="225" spans="6:10" ht="15.75" customHeight="1" x14ac:dyDescent="0.25">
      <c r="F225" s="2">
        <v>223</v>
      </c>
      <c r="G225" s="3">
        <f t="shared" si="12"/>
        <v>1.1305682645795975E-2</v>
      </c>
      <c r="H225" s="3">
        <f t="shared" si="13"/>
        <v>0.19004500207882993</v>
      </c>
      <c r="I225" s="3">
        <f t="shared" si="14"/>
        <v>0.79864931527537175</v>
      </c>
      <c r="J225" s="3">
        <f t="shared" si="15"/>
        <v>0.20135068472462825</v>
      </c>
    </row>
    <row r="226" spans="6:10" ht="15.75" customHeight="1" x14ac:dyDescent="0.25">
      <c r="F226" s="2">
        <v>224</v>
      </c>
      <c r="G226" s="3">
        <f t="shared" si="12"/>
        <v>1.1080699561144635E-2</v>
      </c>
      <c r="H226" s="3">
        <f t="shared" si="13"/>
        <v>0.18836840457442838</v>
      </c>
      <c r="I226" s="3">
        <f t="shared" si="14"/>
        <v>0.80055089586442463</v>
      </c>
      <c r="J226" s="3">
        <f t="shared" si="15"/>
        <v>0.19944910413557537</v>
      </c>
    </row>
    <row r="227" spans="6:10" ht="15.75" customHeight="1" x14ac:dyDescent="0.25">
      <c r="F227" s="2">
        <v>225</v>
      </c>
      <c r="G227" s="3">
        <f t="shared" si="12"/>
        <v>1.0860193639877856E-2</v>
      </c>
      <c r="H227" s="3">
        <f t="shared" si="13"/>
        <v>0.18670411837999476</v>
      </c>
      <c r="I227" s="3">
        <f t="shared" si="14"/>
        <v>0.80243568798012499</v>
      </c>
      <c r="J227" s="3">
        <f t="shared" si="15"/>
        <v>0.19756431201987501</v>
      </c>
    </row>
    <row r="228" spans="6:10" ht="15.75" customHeight="1" x14ac:dyDescent="0.25">
      <c r="F228" s="2">
        <v>226</v>
      </c>
      <c r="G228" s="3">
        <f t="shared" si="12"/>
        <v>1.0644075786444286E-2</v>
      </c>
      <c r="H228" s="3">
        <f t="shared" si="13"/>
        <v>0.18505210903026437</v>
      </c>
      <c r="I228" s="3">
        <f t="shared" si="14"/>
        <v>0.80430381518328897</v>
      </c>
      <c r="J228" s="3">
        <f t="shared" si="15"/>
        <v>0.19569618481671103</v>
      </c>
    </row>
    <row r="229" spans="6:10" ht="15.75" customHeight="1" x14ac:dyDescent="0.25">
      <c r="F229" s="2">
        <v>227</v>
      </c>
      <c r="G229" s="3">
        <f t="shared" si="12"/>
        <v>1.0432258678294044E-2</v>
      </c>
      <c r="H229" s="3">
        <f t="shared" si="13"/>
        <v>0.18341234064053333</v>
      </c>
      <c r="I229" s="3">
        <f t="shared" si="14"/>
        <v>0.80615540068117031</v>
      </c>
      <c r="J229" s="3">
        <f t="shared" si="15"/>
        <v>0.19384459931882969</v>
      </c>
    </row>
    <row r="230" spans="6:10" ht="15.75" customHeight="1" x14ac:dyDescent="0.25">
      <c r="F230" s="2">
        <v>228</v>
      </c>
      <c r="G230" s="3">
        <f t="shared" si="12"/>
        <v>1.0224656730595992E-2</v>
      </c>
      <c r="H230" s="3">
        <f t="shared" si="13"/>
        <v>0.18178477595595821</v>
      </c>
      <c r="I230" s="3">
        <f t="shared" si="14"/>
        <v>0.80799056731344343</v>
      </c>
      <c r="J230" s="3">
        <f t="shared" si="15"/>
        <v>0.19200943268655657</v>
      </c>
    </row>
    <row r="231" spans="6:10" ht="15.75" customHeight="1" x14ac:dyDescent="0.25">
      <c r="F231" s="2">
        <v>229</v>
      </c>
      <c r="G231" s="3">
        <f t="shared" si="12"/>
        <v>1.0021186061657132E-2</v>
      </c>
      <c r="H231" s="3">
        <f t="shared" si="13"/>
        <v>0.1801693763996644</v>
      </c>
      <c r="I231" s="3">
        <f t="shared" si="14"/>
        <v>0.80980943753867607</v>
      </c>
      <c r="J231" s="3">
        <f t="shared" si="15"/>
        <v>0.19019056246132393</v>
      </c>
    </row>
    <row r="232" spans="6:10" ht="15.75" customHeight="1" x14ac:dyDescent="0.25">
      <c r="F232" s="2">
        <v>230</v>
      </c>
      <c r="G232" s="3">
        <f t="shared" si="12"/>
        <v>9.8217644590301544E-3</v>
      </c>
      <c r="H232" s="3">
        <f t="shared" si="13"/>
        <v>0.17856610211968857</v>
      </c>
      <c r="I232" s="3">
        <f t="shared" si="14"/>
        <v>0.81161213342127891</v>
      </c>
      <c r="J232" s="3">
        <f t="shared" si="15"/>
        <v>0.18838786657872109</v>
      </c>
    </row>
    <row r="233" spans="6:10" ht="15.75" customHeight="1" x14ac:dyDescent="0.25">
      <c r="F233" s="2">
        <v>231</v>
      </c>
      <c r="G233" s="3">
        <f t="shared" si="12"/>
        <v>9.6263113462954544E-3</v>
      </c>
      <c r="H233" s="3">
        <f t="shared" si="13"/>
        <v>0.17697491203478047</v>
      </c>
      <c r="I233" s="3">
        <f t="shared" si="14"/>
        <v>0.81339877661892168</v>
      </c>
      <c r="J233" s="3">
        <f t="shared" si="15"/>
        <v>0.18660122338107832</v>
      </c>
    </row>
    <row r="234" spans="6:10" ht="15.75" customHeight="1" x14ac:dyDescent="0.25">
      <c r="F234" s="2">
        <v>232</v>
      </c>
      <c r="G234" s="3">
        <f t="shared" si="12"/>
        <v>9.4347477505041747E-3</v>
      </c>
      <c r="H234" s="3">
        <f t="shared" si="13"/>
        <v>0.17539576387908931</v>
      </c>
      <c r="I234" s="3">
        <f t="shared" si="14"/>
        <v>0.81516948837040415</v>
      </c>
      <c r="J234" s="3">
        <f t="shared" si="15"/>
        <v>0.18483051162959585</v>
      </c>
    </row>
    <row r="235" spans="6:10" ht="15.75" customHeight="1" x14ac:dyDescent="0.25">
      <c r="F235" s="2">
        <v>233</v>
      </c>
      <c r="G235" s="3">
        <f t="shared" si="12"/>
        <v>9.2469962702691408E-3</v>
      </c>
      <c r="H235" s="3">
        <f t="shared" si="13"/>
        <v>0.17382861424575841</v>
      </c>
      <c r="I235" s="3">
        <f t="shared" si="14"/>
        <v>0.81692438948397006</v>
      </c>
      <c r="J235" s="3">
        <f t="shared" si="15"/>
        <v>0.18307561051602994</v>
      </c>
    </row>
    <row r="236" spans="6:10" ht="15.75" customHeight="1" x14ac:dyDescent="0.25">
      <c r="F236" s="2">
        <v>234</v>
      </c>
      <c r="G236" s="3">
        <f t="shared" si="12"/>
        <v>9.0629810444907838E-3</v>
      </c>
      <c r="H236" s="3">
        <f t="shared" si="13"/>
        <v>0.17227341862945217</v>
      </c>
      <c r="I236" s="3">
        <f t="shared" si="14"/>
        <v>0.81866360032605467</v>
      </c>
      <c r="J236" s="3">
        <f t="shared" si="15"/>
        <v>0.18133639967394533</v>
      </c>
    </row>
    <row r="237" spans="6:10" ht="15.75" customHeight="1" x14ac:dyDescent="0.25">
      <c r="F237" s="2">
        <v>235</v>
      </c>
      <c r="G237" s="3">
        <f t="shared" si="12"/>
        <v>8.8826277217054165E-3</v>
      </c>
      <c r="H237" s="3">
        <f t="shared" si="13"/>
        <v>0.17073013146783858</v>
      </c>
      <c r="I237" s="3">
        <f t="shared" si="14"/>
        <v>0.82038724081045367</v>
      </c>
      <c r="J237" s="3">
        <f t="shared" si="15"/>
        <v>0.17961275918954633</v>
      </c>
    </row>
    <row r="238" spans="6:10" ht="15.75" customHeight="1" x14ac:dyDescent="0.25">
      <c r="F238" s="2">
        <v>236</v>
      </c>
      <c r="G238" s="3">
        <f t="shared" si="12"/>
        <v>8.7058634300434777E-3</v>
      </c>
      <c r="H238" s="3">
        <f t="shared" si="13"/>
        <v>0.16919870618204996</v>
      </c>
      <c r="I238" s="3">
        <f t="shared" si="14"/>
        <v>0.82209543038790422</v>
      </c>
      <c r="J238" s="3">
        <f t="shared" si="15"/>
        <v>0.17790456961209578</v>
      </c>
    </row>
    <row r="239" spans="6:10" ht="15.75" customHeight="1" x14ac:dyDescent="0.25">
      <c r="F239" s="2">
        <v>237</v>
      </c>
      <c r="G239" s="3">
        <f t="shared" si="12"/>
        <v>8.5326167477856128E-3</v>
      </c>
      <c r="H239" s="3">
        <f t="shared" si="13"/>
        <v>0.16767909521614432</v>
      </c>
      <c r="I239" s="3">
        <f t="shared" si="14"/>
        <v>0.82378828803606774</v>
      </c>
      <c r="J239" s="3">
        <f t="shared" si="15"/>
        <v>0.17621171196393226</v>
      </c>
    </row>
    <row r="240" spans="6:10" ht="15.75" customHeight="1" x14ac:dyDescent="0.25">
      <c r="F240" s="2">
        <v>238</v>
      </c>
      <c r="G240" s="3">
        <f t="shared" si="12"/>
        <v>8.3628176745046794E-3</v>
      </c>
      <c r="H240" s="3">
        <f t="shared" si="13"/>
        <v>0.16617125007558903</v>
      </c>
      <c r="I240" s="3">
        <f t="shared" si="14"/>
        <v>0.82546593224990394</v>
      </c>
      <c r="J240" s="3">
        <f t="shared" si="15"/>
        <v>0.17453406775009606</v>
      </c>
    </row>
    <row r="241" spans="6:10" ht="15.75" customHeight="1" x14ac:dyDescent="0.25">
      <c r="F241" s="2">
        <v>239</v>
      </c>
      <c r="G241" s="3">
        <f t="shared" si="12"/>
        <v>8.1963976027820355E-3</v>
      </c>
      <c r="H241" s="3">
        <f t="shared" si="13"/>
        <v>0.16467512136478832</v>
      </c>
      <c r="I241" s="3">
        <f t="shared" si="14"/>
        <v>0.82712848103242731</v>
      </c>
      <c r="J241" s="3">
        <f t="shared" si="15"/>
        <v>0.17287151896757269</v>
      </c>
    </row>
    <row r="242" spans="6:10" ht="15.75" customHeight="1" x14ac:dyDescent="0.25">
      <c r="F242" s="2">
        <v>240</v>
      </c>
      <c r="G242" s="3">
        <f t="shared" si="12"/>
        <v>8.0332892904866719E-3</v>
      </c>
      <c r="H242" s="3">
        <f t="shared" si="13"/>
        <v>0.16319065882367553</v>
      </c>
      <c r="I242" s="3">
        <f t="shared" si="14"/>
        <v>0.82877605188583547</v>
      </c>
      <c r="J242" s="3">
        <f t="shared" si="15"/>
        <v>0.17122394811416453</v>
      </c>
    </row>
    <row r="243" spans="6:10" ht="15.75" customHeight="1" x14ac:dyDescent="0.25">
      <c r="F243" s="2">
        <v>241</v>
      </c>
      <c r="G243" s="3">
        <f t="shared" si="12"/>
        <v>7.8734268336059874E-3</v>
      </c>
      <c r="H243" s="3">
        <f t="shared" si="13"/>
        <v>0.16171781136339042</v>
      </c>
      <c r="I243" s="3">
        <f t="shared" si="14"/>
        <v>0.83040876180300127</v>
      </c>
      <c r="J243" s="3">
        <f t="shared" si="15"/>
        <v>0.16959123819699873</v>
      </c>
    </row>
    <row r="244" spans="6:10" ht="15.75" customHeight="1" x14ac:dyDescent="0.25">
      <c r="F244" s="2">
        <v>242</v>
      </c>
      <c r="G244" s="3">
        <f t="shared" si="12"/>
        <v>7.7167456396172278E-3</v>
      </c>
      <c r="H244" s="3">
        <f t="shared" si="13"/>
        <v>0.16025652710106192</v>
      </c>
      <c r="I244" s="3">
        <f t="shared" si="14"/>
        <v>0.83202672725931859</v>
      </c>
      <c r="J244" s="3">
        <f t="shared" si="15"/>
        <v>0.16797327274068141</v>
      </c>
    </row>
    <row r="245" spans="6:10" ht="15.75" customHeight="1" x14ac:dyDescent="0.25">
      <c r="F245" s="2">
        <v>243</v>
      </c>
      <c r="G245" s="3">
        <f t="shared" si="12"/>
        <v>7.5631824013888448E-3</v>
      </c>
      <c r="H245" s="3">
        <f t="shared" si="13"/>
        <v>0.15880675339371572</v>
      </c>
      <c r="I245" s="3">
        <f t="shared" si="14"/>
        <v>0.83363006420489316</v>
      </c>
      <c r="J245" s="3">
        <f t="shared" si="15"/>
        <v>0.16636993579510684</v>
      </c>
    </row>
    <row r="246" spans="6:10" ht="15.75" customHeight="1" x14ac:dyDescent="0.25">
      <c r="F246" s="2">
        <v>244</v>
      </c>
      <c r="G246" s="3">
        <f t="shared" si="12"/>
        <v>7.4126750716012064E-3</v>
      </c>
      <c r="H246" s="3">
        <f t="shared" si="13"/>
        <v>0.15736843687132604</v>
      </c>
      <c r="I246" s="3">
        <f t="shared" si="14"/>
        <v>0.83521888805707045</v>
      </c>
      <c r="J246" s="3">
        <f t="shared" si="15"/>
        <v>0.16478111194292955</v>
      </c>
    </row>
    <row r="247" spans="6:10" ht="15.75" customHeight="1" x14ac:dyDescent="0.25">
      <c r="F247" s="2">
        <v>245</v>
      </c>
      <c r="G247" s="3">
        <f t="shared" si="12"/>
        <v>7.2651628376763418E-3</v>
      </c>
      <c r="H247" s="3">
        <f t="shared" si="13"/>
        <v>0.15594152346903048</v>
      </c>
      <c r="I247" s="3">
        <f t="shared" si="14"/>
        <v>0.83679331369329091</v>
      </c>
      <c r="J247" s="3">
        <f t="shared" si="15"/>
        <v>0.16320668630670909</v>
      </c>
    </row>
    <row r="248" spans="6:10" ht="15.75" customHeight="1" x14ac:dyDescent="0.25">
      <c r="F248" s="2">
        <v>246</v>
      </c>
      <c r="G248" s="3">
        <f t="shared" si="12"/>
        <v>7.1205860972065821E-3</v>
      </c>
      <c r="H248" s="3">
        <f t="shared" si="13"/>
        <v>0.15452595845852618</v>
      </c>
      <c r="I248" s="3">
        <f t="shared" si="14"/>
        <v>0.83835345544426498</v>
      </c>
      <c r="J248" s="3">
        <f t="shared" si="15"/>
        <v>0.16164654455573502</v>
      </c>
    </row>
    <row r="249" spans="6:10" ht="15.75" customHeight="1" x14ac:dyDescent="0.25">
      <c r="F249" s="2">
        <v>247</v>
      </c>
      <c r="G249" s="3">
        <f t="shared" si="12"/>
        <v>6.9788864338721709E-3</v>
      </c>
      <c r="H249" s="3">
        <f t="shared" si="13"/>
        <v>0.15312168647866561</v>
      </c>
      <c r="I249" s="3">
        <f t="shared" si="14"/>
        <v>0.83989942708746002</v>
      </c>
      <c r="J249" s="3">
        <f t="shared" si="15"/>
        <v>0.16010057291253998</v>
      </c>
    </row>
    <row r="250" spans="6:10" ht="15.75" customHeight="1" x14ac:dyDescent="0.25">
      <c r="F250" s="2">
        <v>248</v>
      </c>
      <c r="G250" s="3">
        <f t="shared" si="12"/>
        <v>6.8400065938381141E-3</v>
      </c>
      <c r="H250" s="3">
        <f t="shared" si="13"/>
        <v>0.15172865156526963</v>
      </c>
      <c r="I250" s="3">
        <f t="shared" si="14"/>
        <v>0.84143134184089008</v>
      </c>
      <c r="J250" s="3">
        <f t="shared" si="15"/>
        <v>0.15856865815910992</v>
      </c>
    </row>
    <row r="251" spans="6:10" ht="15.75" customHeight="1" x14ac:dyDescent="0.25">
      <c r="F251" s="2">
        <v>249</v>
      </c>
      <c r="G251" s="3">
        <f t="shared" si="12"/>
        <v>6.7038904626207357E-3</v>
      </c>
      <c r="H251" s="3">
        <f t="shared" si="13"/>
        <v>0.15034679718017493</v>
      </c>
      <c r="I251" s="3">
        <f t="shared" si="14"/>
        <v>0.84294931235720216</v>
      </c>
      <c r="J251" s="3">
        <f t="shared" si="15"/>
        <v>0.15705068764279784</v>
      </c>
    </row>
    <row r="252" spans="6:10" ht="15.75" customHeight="1" x14ac:dyDescent="0.25">
      <c r="F252" s="2">
        <v>250</v>
      </c>
      <c r="G252" s="3">
        <f t="shared" si="12"/>
        <v>6.5704830424145825E-3</v>
      </c>
      <c r="H252" s="3">
        <f t="shared" si="13"/>
        <v>0.14897606623953308</v>
      </c>
      <c r="I252" s="3">
        <f t="shared" si="14"/>
        <v>0.84445345071805022</v>
      </c>
      <c r="J252" s="3">
        <f t="shared" si="15"/>
        <v>0.15554654928194978</v>
      </c>
    </row>
    <row r="253" spans="6:10" ht="15.75" customHeight="1" x14ac:dyDescent="0.25">
      <c r="F253" s="2">
        <v>251</v>
      </c>
      <c r="G253" s="3">
        <f t="shared" si="12"/>
        <v>6.4397304298705318E-3</v>
      </c>
      <c r="H253" s="3">
        <f t="shared" si="13"/>
        <v>0.14761640114137756</v>
      </c>
      <c r="I253" s="3">
        <f t="shared" si="14"/>
        <v>0.8459438684287498</v>
      </c>
      <c r="J253" s="3">
        <f t="shared" si="15"/>
        <v>0.1540561315712502</v>
      </c>
    </row>
    <row r="254" spans="6:10" ht="15.75" customHeight="1" x14ac:dyDescent="0.25">
      <c r="F254" s="2">
        <v>252</v>
      </c>
      <c r="G254" s="3">
        <f t="shared" si="12"/>
        <v>6.311579794316108E-3</v>
      </c>
      <c r="H254" s="3">
        <f t="shared" si="13"/>
        <v>0.1462677437924752</v>
      </c>
      <c r="I254" s="3">
        <f t="shared" si="14"/>
        <v>0.84742067641320662</v>
      </c>
      <c r="J254" s="3">
        <f t="shared" si="15"/>
        <v>0.15257932358679338</v>
      </c>
    </row>
    <row r="255" spans="6:10" ht="15.75" customHeight="1" x14ac:dyDescent="0.25">
      <c r="F255" s="2">
        <v>253</v>
      </c>
      <c r="G255" s="3">
        <f t="shared" si="12"/>
        <v>6.1859793564092175E-3</v>
      </c>
      <c r="H255" s="3">
        <f t="shared" si="13"/>
        <v>0.14493003563447793</v>
      </c>
      <c r="I255" s="3">
        <f t="shared" si="14"/>
        <v>0.84888398500911078</v>
      </c>
      <c r="J255" s="3">
        <f t="shared" si="15"/>
        <v>0.15111601499088922</v>
      </c>
    </row>
    <row r="256" spans="6:10" ht="15.75" customHeight="1" x14ac:dyDescent="0.25">
      <c r="F256" s="2">
        <v>254</v>
      </c>
      <c r="G256" s="3">
        <f t="shared" si="12"/>
        <v>6.0628783672166736E-3</v>
      </c>
      <c r="H256" s="3">
        <f t="shared" si="13"/>
        <v>0.14360321766939005</v>
      </c>
      <c r="I256" s="3">
        <f t="shared" si="14"/>
        <v>0.85033390396339115</v>
      </c>
      <c r="J256" s="3">
        <f t="shared" si="15"/>
        <v>0.14966609603660885</v>
      </c>
    </row>
    <row r="257" spans="6:10" ht="15.75" customHeight="1" x14ac:dyDescent="0.25">
      <c r="F257" s="2">
        <v>255</v>
      </c>
      <c r="G257" s="3">
        <f t="shared" si="12"/>
        <v>5.9422270877090618E-3</v>
      </c>
      <c r="H257" s="3">
        <f t="shared" si="13"/>
        <v>0.14228723048436703</v>
      </c>
      <c r="I257" s="3">
        <f t="shared" si="14"/>
        <v>0.85177054242792172</v>
      </c>
      <c r="J257" s="3">
        <f t="shared" si="15"/>
        <v>0.14822945757207828</v>
      </c>
    </row>
    <row r="258" spans="6:10" ht="15.75" customHeight="1" x14ac:dyDescent="0.25">
      <c r="F258" s="2">
        <v>256</v>
      </c>
      <c r="G258" s="3">
        <f t="shared" si="12"/>
        <v>5.8239767686636516E-3</v>
      </c>
      <c r="H258" s="3">
        <f t="shared" si="13"/>
        <v>0.14098201427585999</v>
      </c>
      <c r="I258" s="3">
        <f t="shared" si="14"/>
        <v>0.85319400895547415</v>
      </c>
      <c r="J258" s="3">
        <f t="shared" si="15"/>
        <v>0.14680599104452585</v>
      </c>
    </row>
    <row r="259" spans="6:10" ht="15.75" customHeight="1" x14ac:dyDescent="0.25">
      <c r="F259" s="2">
        <v>257</v>
      </c>
      <c r="G259" s="3">
        <f t="shared" ref="G259:G322" si="16">(G258*$B$5)+(H258*$B$6)+(I258*$B$7)</f>
        <v>5.708079630967245E-3</v>
      </c>
      <c r="H259" s="3">
        <f t="shared" ref="H259:H322" si="17">(G258*$C$5)+(H258*$C$6)+(I258*$C$7)</f>
        <v>0.13968750887312095</v>
      </c>
      <c r="I259" s="3">
        <f t="shared" ref="I259:I322" si="18">(G258*$D$5)+(H258*$D$6)+(I258*$D$7)</f>
        <v>0.8546044114959096</v>
      </c>
      <c r="J259" s="3">
        <f t="shared" ref="J259:J322" si="19">1-I259</f>
        <v>0.1453955885040904</v>
      </c>
    </row>
    <row r="260" spans="6:10" ht="15.75" customHeight="1" x14ac:dyDescent="0.25">
      <c r="F260" s="2">
        <v>258</v>
      </c>
      <c r="G260" s="3">
        <f t="shared" si="16"/>
        <v>5.5944888463109969E-3</v>
      </c>
      <c r="H260" s="3">
        <f t="shared" si="17"/>
        <v>0.13840365376108291</v>
      </c>
      <c r="I260" s="3">
        <f t="shared" si="18"/>
        <v>0.85600185739260393</v>
      </c>
      <c r="J260" s="3">
        <f t="shared" si="19"/>
        <v>0.14399814260739607</v>
      </c>
    </row>
    <row r="261" spans="6:10" ht="15.75" customHeight="1" x14ac:dyDescent="0.25">
      <c r="F261" s="2">
        <v>259</v>
      </c>
      <c r="G261" s="3">
        <f t="shared" si="16"/>
        <v>5.4831585182694076E-3</v>
      </c>
      <c r="H261" s="3">
        <f t="shared" si="17"/>
        <v>0.13713038810262904</v>
      </c>
      <c r="I261" s="3">
        <f t="shared" si="18"/>
        <v>0.85738645337909936</v>
      </c>
      <c r="J261" s="3">
        <f t="shared" si="19"/>
        <v>0.14261354662090064</v>
      </c>
    </row>
    <row r="262" spans="6:10" ht="15.75" customHeight="1" x14ac:dyDescent="0.25">
      <c r="F262" s="2">
        <v>260</v>
      </c>
      <c r="G262" s="3">
        <f t="shared" si="16"/>
        <v>5.3740436637558465E-3</v>
      </c>
      <c r="H262" s="3">
        <f t="shared" si="17"/>
        <v>0.13586765076026447</v>
      </c>
      <c r="I262" s="3">
        <f t="shared" si="18"/>
        <v>0.85875830557597743</v>
      </c>
      <c r="J262" s="3">
        <f t="shared" si="19"/>
        <v>0.14124169442402257</v>
      </c>
    </row>
    <row r="263" spans="6:10" ht="15.75" customHeight="1" x14ac:dyDescent="0.25">
      <c r="F263" s="2">
        <v>261</v>
      </c>
      <c r="G263" s="3">
        <f t="shared" si="16"/>
        <v>5.2671001948471049E-3</v>
      </c>
      <c r="H263" s="3">
        <f t="shared" si="17"/>
        <v>0.13461538031720419</v>
      </c>
      <c r="I263" s="3">
        <f t="shared" si="18"/>
        <v>0.86011751948794646</v>
      </c>
      <c r="J263" s="3">
        <f t="shared" si="19"/>
        <v>0.13988248051205354</v>
      </c>
    </row>
    <row r="264" spans="6:10" ht="15.75" customHeight="1" x14ac:dyDescent="0.25">
      <c r="F264" s="2">
        <v>262</v>
      </c>
      <c r="G264" s="3">
        <f t="shared" si="16"/>
        <v>5.1622849009696475E-3</v>
      </c>
      <c r="H264" s="3">
        <f t="shared" si="17"/>
        <v>0.13337351509789011</v>
      </c>
      <c r="I264" s="3">
        <f t="shared" si="18"/>
        <v>0.86146420000113799</v>
      </c>
      <c r="J264" s="3">
        <f t="shared" si="19"/>
        <v>0.13853579999886201</v>
      </c>
    </row>
    <row r="265" spans="6:10" ht="15.75" customHeight="1" x14ac:dyDescent="0.25">
      <c r="F265" s="2">
        <v>263</v>
      </c>
      <c r="G265" s="3">
        <f t="shared" si="16"/>
        <v>5.0595554314403516E-3</v>
      </c>
      <c r="H265" s="3">
        <f t="shared" si="17"/>
        <v>0.13214199318795042</v>
      </c>
      <c r="I265" s="3">
        <f t="shared" si="18"/>
        <v>0.86279845138060696</v>
      </c>
      <c r="J265" s="3">
        <f t="shared" si="19"/>
        <v>0.13720154861939304</v>
      </c>
    </row>
    <row r="266" spans="6:10" ht="15.75" customHeight="1" x14ac:dyDescent="0.25">
      <c r="F266" s="2">
        <v>264</v>
      </c>
      <c r="G266" s="3">
        <f t="shared" si="16"/>
        <v>4.9588702783546889E-3</v>
      </c>
      <c r="H266" s="3">
        <f t="shared" si="17"/>
        <v>0.13092075245361343</v>
      </c>
      <c r="I266" s="3">
        <f t="shared" si="18"/>
        <v>0.86412037726802959</v>
      </c>
      <c r="J266" s="3">
        <f t="shared" si="19"/>
        <v>0.13587962273197041</v>
      </c>
    </row>
    <row r="267" spans="6:10" ht="15.75" customHeight="1" x14ac:dyDescent="0.25">
      <c r="F267" s="2">
        <v>265</v>
      </c>
      <c r="G267" s="3">
        <f t="shared" si="16"/>
        <v>4.8601887598154307E-3</v>
      </c>
      <c r="H267" s="3">
        <f t="shared" si="17"/>
        <v>0.12970973056058871</v>
      </c>
      <c r="I267" s="3">
        <f t="shared" si="18"/>
        <v>0.86543008067959359</v>
      </c>
      <c r="J267" s="3">
        <f t="shared" si="19"/>
        <v>0.13456991932040641</v>
      </c>
    </row>
    <row r="268" spans="6:10" ht="15.75" customHeight="1" x14ac:dyDescent="0.25">
      <c r="F268" s="2">
        <v>266</v>
      </c>
      <c r="G268" s="3">
        <f t="shared" si="16"/>
        <v>4.7634710034951035E-3</v>
      </c>
      <c r="H268" s="3">
        <f t="shared" si="17"/>
        <v>0.12850886499242717</v>
      </c>
      <c r="I268" s="3">
        <f t="shared" si="18"/>
        <v>0.86672766400407542</v>
      </c>
      <c r="J268" s="3">
        <f t="shared" si="19"/>
        <v>0.13327233599592458</v>
      </c>
    </row>
    <row r="269" spans="6:10" ht="15.75" customHeight="1" x14ac:dyDescent="0.25">
      <c r="F269" s="2">
        <v>267</v>
      </c>
      <c r="G269" s="3">
        <f t="shared" si="16"/>
        <v>4.6686779305255511E-3</v>
      </c>
      <c r="H269" s="3">
        <f t="shared" si="17"/>
        <v>0.12731809306837211</v>
      </c>
      <c r="I269" s="3">
        <f t="shared" si="18"/>
        <v>0.86801322900110001</v>
      </c>
      <c r="J269" s="3">
        <f t="shared" si="19"/>
        <v>0.13198677099889999</v>
      </c>
    </row>
    <row r="270" spans="6:10" ht="15.75" customHeight="1" x14ac:dyDescent="0.25">
      <c r="F270" s="2">
        <v>268</v>
      </c>
      <c r="G270" s="3">
        <f t="shared" si="16"/>
        <v>4.5757712397080921E-3</v>
      </c>
      <c r="H270" s="3">
        <f t="shared" si="17"/>
        <v>0.1261373519607128</v>
      </c>
      <c r="I270" s="3">
        <f t="shared" si="18"/>
        <v>0.86928687679957684</v>
      </c>
      <c r="J270" s="3">
        <f t="shared" si="19"/>
        <v>0.13071312320042316</v>
      </c>
    </row>
    <row r="271" spans="6:10" ht="15.75" customHeight="1" x14ac:dyDescent="0.25">
      <c r="F271" s="2">
        <v>269</v>
      </c>
      <c r="G271" s="3">
        <f t="shared" si="16"/>
        <v>4.4847133920379008E-3</v>
      </c>
      <c r="H271" s="3">
        <f t="shared" si="17"/>
        <v>0.12496657871165189</v>
      </c>
      <c r="I271" s="3">
        <f t="shared" si="18"/>
        <v>0.87054870789630789</v>
      </c>
      <c r="J271" s="3">
        <f t="shared" si="19"/>
        <v>0.12945129210369211</v>
      </c>
    </row>
    <row r="272" spans="6:10" ht="15.75" customHeight="1" x14ac:dyDescent="0.25">
      <c r="F272" s="2">
        <v>270</v>
      </c>
      <c r="G272" s="3">
        <f t="shared" si="16"/>
        <v>4.3954675955363461E-3</v>
      </c>
      <c r="H272" s="3">
        <f t="shared" si="17"/>
        <v>0.12380571024969772</v>
      </c>
      <c r="I272" s="3">
        <f t="shared" si="18"/>
        <v>0.87179882215476356</v>
      </c>
      <c r="J272" s="3">
        <f t="shared" si="19"/>
        <v>0.12820117784523644</v>
      </c>
    </row>
    <row r="273" spans="6:10" ht="15.75" customHeight="1" x14ac:dyDescent="0.25">
      <c r="F273" s="2">
        <v>271</v>
      </c>
      <c r="G273" s="3">
        <f t="shared" si="16"/>
        <v>4.3079977903851723E-3</v>
      </c>
      <c r="H273" s="3">
        <f t="shared" si="17"/>
        <v>0.12265468340559235</v>
      </c>
      <c r="I273" s="3">
        <f t="shared" si="18"/>
        <v>0.87303731880402013</v>
      </c>
      <c r="J273" s="3">
        <f t="shared" si="19"/>
        <v>0.12696268119597987</v>
      </c>
    </row>
    <row r="274" spans="6:10" ht="15.75" customHeight="1" x14ac:dyDescent="0.25">
      <c r="F274" s="2">
        <v>272</v>
      </c>
      <c r="G274" s="3">
        <f t="shared" si="16"/>
        <v>4.2222686343565069E-3</v>
      </c>
      <c r="H274" s="3">
        <f t="shared" si="17"/>
        <v>0.12151343492778605</v>
      </c>
      <c r="I274" s="3">
        <f t="shared" si="18"/>
        <v>0.87426429643785508</v>
      </c>
      <c r="J274" s="3">
        <f t="shared" si="19"/>
        <v>0.12573570356214492</v>
      </c>
    </row>
    <row r="275" spans="6:10" ht="15.75" customHeight="1" x14ac:dyDescent="0.25">
      <c r="F275" s="2">
        <v>273</v>
      </c>
      <c r="G275" s="3">
        <f t="shared" si="16"/>
        <v>4.1382454885328119E-3</v>
      </c>
      <c r="H275" s="3">
        <f t="shared" si="17"/>
        <v>0.12038190149746844</v>
      </c>
      <c r="I275" s="3">
        <f t="shared" si="18"/>
        <v>0.87547985301399633</v>
      </c>
      <c r="J275" s="3">
        <f t="shared" si="19"/>
        <v>0.12452014698600367</v>
      </c>
    </row>
    <row r="276" spans="6:10" ht="15.75" customHeight="1" x14ac:dyDescent="0.25">
      <c r="F276" s="2">
        <v>274</v>
      </c>
      <c r="G276" s="3">
        <f t="shared" si="16"/>
        <v>4.0558944033110087E-3</v>
      </c>
      <c r="H276" s="3">
        <f t="shared" si="17"/>
        <v>0.1192600197431667</v>
      </c>
      <c r="I276" s="3">
        <f t="shared" si="18"/>
        <v>0.87668408585351987</v>
      </c>
      <c r="J276" s="3">
        <f t="shared" si="19"/>
        <v>0.12331591414648013</v>
      </c>
    </row>
    <row r="277" spans="6:10" ht="15.75" customHeight="1" x14ac:dyDescent="0.25">
      <c r="F277" s="2">
        <v>275</v>
      </c>
      <c r="G277" s="3">
        <f t="shared" si="16"/>
        <v>3.9751821046851198E-3</v>
      </c>
      <c r="H277" s="3">
        <f t="shared" si="17"/>
        <v>0.11814772625492059</v>
      </c>
      <c r="I277" s="3">
        <f t="shared" si="18"/>
        <v>0.87787709164039185</v>
      </c>
      <c r="J277" s="3">
        <f t="shared" si="19"/>
        <v>0.12212290835960815</v>
      </c>
    </row>
    <row r="278" spans="6:10" ht="15.75" customHeight="1" x14ac:dyDescent="0.25">
      <c r="F278" s="2">
        <v>276</v>
      </c>
      <c r="G278" s="3">
        <f t="shared" si="16"/>
        <v>3.8960759808018856E-3</v>
      </c>
      <c r="H278" s="3">
        <f t="shared" si="17"/>
        <v>0.11704495759804415</v>
      </c>
      <c r="I278" s="3">
        <f t="shared" si="18"/>
        <v>0.87905896642115156</v>
      </c>
      <c r="J278" s="3">
        <f t="shared" si="19"/>
        <v>0.12094103357884844</v>
      </c>
    </row>
    <row r="279" spans="6:10" ht="15.75" customHeight="1" x14ac:dyDescent="0.25">
      <c r="F279" s="2">
        <v>277</v>
      </c>
      <c r="G279" s="3">
        <f t="shared" si="16"/>
        <v>3.8185440687839279E-3</v>
      </c>
      <c r="H279" s="3">
        <f t="shared" si="17"/>
        <v>0.11595165032648358</v>
      </c>
      <c r="I279" s="3">
        <f t="shared" si="18"/>
        <v>0.88022980560473008</v>
      </c>
      <c r="J279" s="3">
        <f t="shared" si="19"/>
        <v>0.11977019439526992</v>
      </c>
    </row>
    <row r="280" spans="6:10" ht="15.75" customHeight="1" x14ac:dyDescent="0.25">
      <c r="F280" s="2">
        <v>278</v>
      </c>
      <c r="G280" s="3">
        <f t="shared" si="16"/>
        <v>3.7425550418151276E-3</v>
      </c>
      <c r="H280" s="3">
        <f t="shared" si="17"/>
        <v>0.11486774099578068</v>
      </c>
      <c r="I280" s="3">
        <f t="shared" si="18"/>
        <v>0.88138970396240179</v>
      </c>
      <c r="J280" s="3">
        <f t="shared" si="19"/>
        <v>0.11861029603759821</v>
      </c>
    </row>
    <row r="281" spans="6:10" ht="15.75" customHeight="1" x14ac:dyDescent="0.25">
      <c r="F281" s="2">
        <v>279</v>
      </c>
      <c r="G281" s="3">
        <f t="shared" si="16"/>
        <v>3.6680781964830065E-3</v>
      </c>
      <c r="H281" s="3">
        <f t="shared" si="17"/>
        <v>0.11379316617565081</v>
      </c>
      <c r="I281" s="3">
        <f t="shared" si="18"/>
        <v>0.88253875562786377</v>
      </c>
      <c r="J281" s="3">
        <f t="shared" si="19"/>
        <v>0.11746124437213623</v>
      </c>
    </row>
    <row r="282" spans="6:10" ht="15.75" customHeight="1" x14ac:dyDescent="0.25">
      <c r="F282" s="2">
        <v>280</v>
      </c>
      <c r="G282" s="3">
        <f t="shared" si="16"/>
        <v>3.5950834403729944E-3</v>
      </c>
      <c r="H282" s="3">
        <f t="shared" si="17"/>
        <v>0.11272786246218468</v>
      </c>
      <c r="I282" s="3">
        <f t="shared" si="18"/>
        <v>0.88367705409743991</v>
      </c>
      <c r="J282" s="3">
        <f t="shared" si="19"/>
        <v>0.11632294590256009</v>
      </c>
    </row>
    <row r="283" spans="6:10" ht="15.75" customHeight="1" x14ac:dyDescent="0.25">
      <c r="F283" s="2">
        <v>281</v>
      </c>
      <c r="G283" s="3">
        <f t="shared" si="16"/>
        <v>3.5235412799095715E-3</v>
      </c>
      <c r="H283" s="3">
        <f t="shared" si="17"/>
        <v>0.11167176648968222</v>
      </c>
      <c r="I283" s="3">
        <f t="shared" si="18"/>
        <v>0.88480469223040581</v>
      </c>
      <c r="J283" s="3">
        <f t="shared" si="19"/>
        <v>0.11519530776959419</v>
      </c>
    </row>
    <row r="284" spans="6:10" ht="15.75" customHeight="1" x14ac:dyDescent="0.25">
      <c r="F284" s="2">
        <v>282</v>
      </c>
      <c r="G284" s="3">
        <f t="shared" si="16"/>
        <v>3.4534228084393708E-3</v>
      </c>
      <c r="H284" s="3">
        <f t="shared" si="17"/>
        <v>0.1106248149421276</v>
      </c>
      <c r="I284" s="3">
        <f t="shared" si="18"/>
        <v>0.88592176224943064</v>
      </c>
      <c r="J284" s="3">
        <f t="shared" si="19"/>
        <v>0.11407823775056936</v>
      </c>
    </row>
    <row r="285" spans="6:10" ht="15.75" customHeight="1" x14ac:dyDescent="0.25">
      <c r="F285" s="2">
        <v>283</v>
      </c>
      <c r="G285" s="3">
        <f t="shared" si="16"/>
        <v>3.3846996945514273E-3</v>
      </c>
      <c r="H285" s="3">
        <f t="shared" si="17"/>
        <v>0.10958694456431343</v>
      </c>
      <c r="I285" s="3">
        <f t="shared" si="18"/>
        <v>0.88702835574113281</v>
      </c>
      <c r="J285" s="3">
        <f t="shared" si="19"/>
        <v>0.11297164425886719</v>
      </c>
    </row>
    <row r="286" spans="6:10" ht="15.75" customHeight="1" x14ac:dyDescent="0.25">
      <c r="F286" s="2">
        <v>284</v>
      </c>
      <c r="G286" s="3">
        <f t="shared" si="16"/>
        <v>3.3173441706298538E-3</v>
      </c>
      <c r="H286" s="3">
        <f t="shared" si="17"/>
        <v>0.10855809217262243</v>
      </c>
      <c r="I286" s="3">
        <f t="shared" si="18"/>
        <v>0.88812456365674541</v>
      </c>
      <c r="J286" s="3">
        <f t="shared" si="19"/>
        <v>0.11187543634325459</v>
      </c>
    </row>
    <row r="287" spans="6:10" ht="15.75" customHeight="1" x14ac:dyDescent="0.25">
      <c r="F287" s="2">
        <v>285</v>
      </c>
      <c r="G287" s="3">
        <f t="shared" si="16"/>
        <v>3.2513290216343196E-3</v>
      </c>
      <c r="H287" s="3">
        <f t="shared" si="17"/>
        <v>0.10753819466547467</v>
      </c>
      <c r="I287" s="3">
        <f t="shared" si="18"/>
        <v>0.88921047631288874</v>
      </c>
      <c r="J287" s="3">
        <f t="shared" si="19"/>
        <v>0.11078952368711126</v>
      </c>
    </row>
    <row r="288" spans="6:10" ht="15.75" customHeight="1" x14ac:dyDescent="0.25">
      <c r="F288" s="2">
        <v>286</v>
      </c>
      <c r="G288" s="3">
        <f t="shared" si="16"/>
        <v>3.1866275741037967E-3</v>
      </c>
      <c r="H288" s="3">
        <f t="shared" si="17"/>
        <v>0.10652718903344828</v>
      </c>
      <c r="I288" s="3">
        <f t="shared" si="18"/>
        <v>0.8902861833924457</v>
      </c>
      <c r="J288" s="3">
        <f t="shared" si="19"/>
        <v>0.1097138166075543</v>
      </c>
    </row>
    <row r="289" spans="6:10" ht="15.75" customHeight="1" x14ac:dyDescent="0.25">
      <c r="F289" s="2">
        <v>287</v>
      </c>
      <c r="G289" s="3">
        <f t="shared" si="16"/>
        <v>3.1232136853791312E-3</v>
      </c>
      <c r="H289" s="3">
        <f t="shared" si="17"/>
        <v>0.10552501236908106</v>
      </c>
      <c r="I289" s="3">
        <f t="shared" si="18"/>
        <v>0.89135177394553755</v>
      </c>
      <c r="J289" s="3">
        <f t="shared" si="19"/>
        <v>0.10864822605446245</v>
      </c>
    </row>
    <row r="290" spans="6:10" ht="15.75" customHeight="1" x14ac:dyDescent="0.25">
      <c r="F290" s="2">
        <v>288</v>
      </c>
      <c r="G290" s="3">
        <f t="shared" si="16"/>
        <v>3.0610617330400864E-3</v>
      </c>
      <c r="H290" s="3">
        <f t="shared" si="17"/>
        <v>0.10453160187636075</v>
      </c>
      <c r="I290" s="3">
        <f t="shared" si="18"/>
        <v>0.89240733639059688</v>
      </c>
      <c r="J290" s="3">
        <f t="shared" si="19"/>
        <v>0.10759266360940312</v>
      </c>
    </row>
    <row r="291" spans="6:10" ht="15.75" customHeight="1" x14ac:dyDescent="0.25">
      <c r="F291" s="2">
        <v>289</v>
      </c>
      <c r="G291" s="3">
        <f t="shared" si="16"/>
        <v>3.0001466045525885E-3</v>
      </c>
      <c r="H291" s="3">
        <f t="shared" si="17"/>
        <v>0.10354689487991134</v>
      </c>
      <c r="I291" s="3">
        <f t="shared" si="18"/>
        <v>0.89345295851553375</v>
      </c>
      <c r="J291" s="3">
        <f t="shared" si="19"/>
        <v>0.10654704148446625</v>
      </c>
    </row>
    <row r="292" spans="6:10" ht="15.75" customHeight="1" x14ac:dyDescent="0.25">
      <c r="F292" s="2">
        <v>290</v>
      </c>
      <c r="G292" s="3">
        <f t="shared" si="16"/>
        <v>2.9404436871219917E-3</v>
      </c>
      <c r="H292" s="3">
        <f t="shared" si="17"/>
        <v>0.10257082883388235</v>
      </c>
      <c r="I292" s="3">
        <f t="shared" si="18"/>
        <v>0.89448872747899333</v>
      </c>
      <c r="J292" s="3">
        <f t="shared" si="19"/>
        <v>0.10551127252100667</v>
      </c>
    </row>
    <row r="293" spans="6:10" ht="15.75" customHeight="1" x14ac:dyDescent="0.25">
      <c r="F293" s="2">
        <v>291</v>
      </c>
      <c r="G293" s="3">
        <f t="shared" si="16"/>
        <v>2.8819288577482641E-3</v>
      </c>
      <c r="H293" s="3">
        <f t="shared" si="17"/>
        <v>0.10160334133054855</v>
      </c>
      <c r="I293" s="3">
        <f t="shared" si="18"/>
        <v>0.89551472981170088</v>
      </c>
      <c r="J293" s="3">
        <f t="shared" si="19"/>
        <v>0.10448527018829912</v>
      </c>
    </row>
    <row r="294" spans="6:10" ht="15.75" customHeight="1" x14ac:dyDescent="0.25">
      <c r="F294" s="2">
        <v>292</v>
      </c>
      <c r="G294" s="3">
        <f t="shared" si="16"/>
        <v>2.8245784734790736E-3</v>
      </c>
      <c r="H294" s="3">
        <f t="shared" si="17"/>
        <v>0.10064437010862648</v>
      </c>
      <c r="I294" s="3">
        <f t="shared" si="18"/>
        <v>0.89653105141789213</v>
      </c>
      <c r="J294" s="3">
        <f t="shared" si="19"/>
        <v>0.10346894858210787</v>
      </c>
    </row>
    <row r="295" spans="6:10" ht="15.75" customHeight="1" x14ac:dyDescent="0.25">
      <c r="F295" s="2">
        <v>293</v>
      </c>
      <c r="G295" s="3">
        <f t="shared" si="16"/>
        <v>2.7683693618568398E-3</v>
      </c>
      <c r="H295" s="3">
        <f t="shared" si="17"/>
        <v>9.9693853061315091E-2</v>
      </c>
      <c r="I295" s="3">
        <f t="shared" si="18"/>
        <v>0.89753777757682573</v>
      </c>
      <c r="J295" s="3">
        <f t="shared" si="19"/>
        <v>0.10246222242317427</v>
      </c>
    </row>
    <row r="296" spans="6:10" ht="15.75" customHeight="1" x14ac:dyDescent="0.25">
      <c r="F296" s="2">
        <v>294</v>
      </c>
      <c r="G296" s="3">
        <f t="shared" si="16"/>
        <v>2.7132788115558884E-3</v>
      </c>
      <c r="H296" s="3">
        <f t="shared" si="17"/>
        <v>9.8751728244066708E-2</v>
      </c>
      <c r="I296" s="3">
        <f t="shared" si="18"/>
        <v>0.89853499294437511</v>
      </c>
      <c r="J296" s="3">
        <f t="shared" si="19"/>
        <v>0.10146500705562489</v>
      </c>
    </row>
    <row r="297" spans="6:10" ht="15.75" customHeight="1" x14ac:dyDescent="0.25">
      <c r="F297" s="2">
        <v>295</v>
      </c>
      <c r="G297" s="3">
        <f t="shared" si="16"/>
        <v>2.6592845632059259E-3</v>
      </c>
      <c r="H297" s="3">
        <f t="shared" si="17"/>
        <v>9.7817933882094851E-2</v>
      </c>
      <c r="I297" s="3">
        <f t="shared" si="18"/>
        <v>0.89952278155469689</v>
      </c>
      <c r="J297" s="3">
        <f t="shared" si="19"/>
        <v>0.10047721844530311</v>
      </c>
    </row>
    <row r="298" spans="6:10" ht="15.75" customHeight="1" x14ac:dyDescent="0.25">
      <c r="F298" s="2">
        <v>296</v>
      </c>
      <c r="G298" s="3">
        <f t="shared" si="16"/>
        <v>2.6063648003981279E-3</v>
      </c>
      <c r="H298" s="3">
        <f t="shared" si="17"/>
        <v>9.6892408377625375E-2</v>
      </c>
      <c r="I298" s="3">
        <f t="shared" si="18"/>
        <v>0.9005012268219742</v>
      </c>
      <c r="J298" s="3">
        <f t="shared" si="19"/>
        <v>9.9498773178025801E-2</v>
      </c>
    </row>
    <row r="299" spans="6:10" ht="15.75" customHeight="1" x14ac:dyDescent="0.25">
      <c r="F299" s="2">
        <v>297</v>
      </c>
      <c r="G299" s="3">
        <f t="shared" si="16"/>
        <v>2.5544981408702049E-3</v>
      </c>
      <c r="H299" s="3">
        <f t="shared" si="17"/>
        <v>9.5975090316896994E-2</v>
      </c>
      <c r="I299" s="3">
        <f t="shared" si="18"/>
        <v>0.90147041154223051</v>
      </c>
      <c r="J299" s="3">
        <f t="shared" si="19"/>
        <v>9.852958845776949E-2</v>
      </c>
    </row>
    <row r="300" spans="6:10" ht="15.75" customHeight="1" x14ac:dyDescent="0.25">
      <c r="F300" s="2">
        <v>298</v>
      </c>
      <c r="G300" s="3">
        <f t="shared" si="16"/>
        <v>2.503663627866888E-3</v>
      </c>
      <c r="H300" s="3">
        <f t="shared" si="17"/>
        <v>9.5065918476917255E-2</v>
      </c>
      <c r="I300" s="3">
        <f t="shared" si="18"/>
        <v>0.90243041789521361</v>
      </c>
      <c r="J300" s="3">
        <f t="shared" si="19"/>
        <v>9.756958210478639E-2</v>
      </c>
    </row>
    <row r="301" spans="6:10" ht="15.75" customHeight="1" x14ac:dyDescent="0.25">
      <c r="F301" s="2">
        <v>299</v>
      </c>
      <c r="G301" s="3">
        <f t="shared" si="16"/>
        <v>2.453840721672337E-3</v>
      </c>
      <c r="H301" s="3">
        <f t="shared" si="17"/>
        <v>9.4164831831979837E-2</v>
      </c>
      <c r="I301" s="3">
        <f t="shared" si="18"/>
        <v>0.90338132744634558</v>
      </c>
      <c r="J301" s="3">
        <f t="shared" si="19"/>
        <v>9.6618672553654417E-2</v>
      </c>
    </row>
    <row r="302" spans="6:10" ht="15.75" customHeight="1" x14ac:dyDescent="0.25">
      <c r="F302" s="2">
        <v>300</v>
      </c>
      <c r="G302" s="3">
        <f t="shared" si="16"/>
        <v>2.4050092913110574E-3</v>
      </c>
      <c r="H302" s="3">
        <f t="shared" si="17"/>
        <v>9.3271769559949147E-2</v>
      </c>
      <c r="I302" s="3">
        <f t="shared" si="18"/>
        <v>0.90432322114873753</v>
      </c>
      <c r="J302" s="3">
        <f t="shared" si="19"/>
        <v>9.5676778851262467E-2</v>
      </c>
    </row>
    <row r="303" spans="6:10" ht="15.75" customHeight="1" x14ac:dyDescent="0.25">
      <c r="F303" s="2">
        <v>301</v>
      </c>
      <c r="G303" s="3">
        <f t="shared" si="16"/>
        <v>2.3571496064139674E-3</v>
      </c>
      <c r="H303" s="3">
        <f t="shared" si="17"/>
        <v>9.2386671048317617E-2</v>
      </c>
      <c r="I303" s="3">
        <f t="shared" si="18"/>
        <v>0.90525617934526614</v>
      </c>
      <c r="J303" s="3">
        <f t="shared" si="19"/>
        <v>9.4743820654733857E-2</v>
      </c>
    </row>
    <row r="304" spans="6:10" ht="15.75" customHeight="1" x14ac:dyDescent="0.25">
      <c r="F304" s="2">
        <v>302</v>
      </c>
      <c r="G304" s="3">
        <f t="shared" si="16"/>
        <v>2.3102423292463295E-3</v>
      </c>
      <c r="H304" s="3">
        <f t="shared" si="17"/>
        <v>9.1509475900041437E-2</v>
      </c>
      <c r="I304" s="3">
        <f t="shared" si="18"/>
        <v>0.90618028177070997</v>
      </c>
      <c r="J304" s="3">
        <f t="shared" si="19"/>
        <v>9.3819718229290028E-2</v>
      </c>
    </row>
    <row r="305" spans="6:10" ht="15.75" customHeight="1" x14ac:dyDescent="0.25">
      <c r="F305" s="2">
        <v>303</v>
      </c>
      <c r="G305" s="3">
        <f t="shared" si="16"/>
        <v>2.2642685068943276E-3</v>
      </c>
      <c r="H305" s="3">
        <f t="shared" si="17"/>
        <v>9.06401239391601E-2</v>
      </c>
      <c r="I305" s="3">
        <f t="shared" si="18"/>
        <v>0.90709560755394336</v>
      </c>
      <c r="J305" s="3">
        <f t="shared" si="19"/>
        <v>9.2904392446056638E-2</v>
      </c>
    </row>
    <row r="306" spans="6:10" ht="15.75" customHeight="1" x14ac:dyDescent="0.25">
      <c r="F306" s="2">
        <v>304</v>
      </c>
      <c r="G306" s="3">
        <f t="shared" si="16"/>
        <v>2.2192095636071303E-3</v>
      </c>
      <c r="H306" s="3">
        <f t="shared" si="17"/>
        <v>8.9778555216205008E-2</v>
      </c>
      <c r="I306" s="3">
        <f t="shared" si="18"/>
        <v>0.90800223522018564</v>
      </c>
      <c r="J306" s="3">
        <f t="shared" si="19"/>
        <v>9.1997764779814362E-2</v>
      </c>
    </row>
    <row r="307" spans="6:10" ht="15.75" customHeight="1" x14ac:dyDescent="0.25">
      <c r="F307" s="2">
        <v>305</v>
      </c>
      <c r="G307" s="3">
        <f t="shared" si="16"/>
        <v>2.1750472932913485E-3</v>
      </c>
      <c r="H307" s="3">
        <f t="shared" si="17"/>
        <v>8.892471001340238E-2</v>
      </c>
      <c r="I307" s="3">
        <f t="shared" si="18"/>
        <v>0.90890024269330405</v>
      </c>
      <c r="J307" s="3">
        <f t="shared" si="19"/>
        <v>9.109975730669595E-2</v>
      </c>
    </row>
    <row r="308" spans="6:10" ht="15.75" customHeight="1" x14ac:dyDescent="0.25">
      <c r="F308" s="2">
        <v>306</v>
      </c>
      <c r="G308" s="3">
        <f t="shared" si="16"/>
        <v>2.1317638521548507E-3</v>
      </c>
      <c r="H308" s="3">
        <f t="shared" si="17"/>
        <v>8.8078528849675528E-2</v>
      </c>
      <c r="I308" s="3">
        <f t="shared" si="18"/>
        <v>0.90978970729816744</v>
      </c>
      <c r="J308" s="3">
        <f t="shared" si="19"/>
        <v>9.0210292701832562E-2</v>
      </c>
    </row>
    <row r="309" spans="6:10" ht="15.75" customHeight="1" x14ac:dyDescent="0.25">
      <c r="F309" s="2">
        <v>307</v>
      </c>
      <c r="G309" s="3">
        <f t="shared" si="16"/>
        <v>2.089341751496969E-3</v>
      </c>
      <c r="H309" s="3">
        <f t="shared" si="17"/>
        <v>8.7239952485451439E-2</v>
      </c>
      <c r="I309" s="3">
        <f t="shared" si="18"/>
        <v>0.91067070576304943</v>
      </c>
      <c r="J309" s="3">
        <f t="shared" si="19"/>
        <v>8.9329294236950574E-2</v>
      </c>
    </row>
    <row r="310" spans="6:10" ht="15.75" customHeight="1" x14ac:dyDescent="0.25">
      <c r="F310" s="2">
        <v>308</v>
      </c>
      <c r="G310" s="3">
        <f t="shared" si="16"/>
        <v>2.0477638506421793E-3</v>
      </c>
      <c r="H310" s="3">
        <f t="shared" si="17"/>
        <v>8.6408921927276561E-2</v>
      </c>
      <c r="I310" s="3">
        <f t="shared" si="18"/>
        <v>0.91154331422207913</v>
      </c>
      <c r="J310" s="3">
        <f t="shared" si="19"/>
        <v>8.8456685777920874E-2</v>
      </c>
    </row>
    <row r="311" spans="6:10" ht="15.75" customHeight="1" x14ac:dyDescent="0.25">
      <c r="F311" s="2">
        <v>309</v>
      </c>
      <c r="G311" s="3">
        <f t="shared" si="16"/>
        <v>2.0070133500144E-3</v>
      </c>
      <c r="H311" s="3">
        <f t="shared" si="17"/>
        <v>8.5585378432246506E-2</v>
      </c>
      <c r="I311" s="3">
        <f t="shared" si="18"/>
        <v>0.91240760821773692</v>
      </c>
      <c r="J311" s="3">
        <f t="shared" si="19"/>
        <v>8.7592391782263079E-2</v>
      </c>
    </row>
    <row r="312" spans="6:10" ht="15.75" customHeight="1" x14ac:dyDescent="0.25">
      <c r="F312" s="2">
        <v>310</v>
      </c>
      <c r="G312" s="3">
        <f t="shared" si="16"/>
        <v>1.9670737843491136E-3</v>
      </c>
      <c r="H312" s="3">
        <f t="shared" si="17"/>
        <v>8.476926351225432E-2</v>
      </c>
      <c r="I312" s="3">
        <f t="shared" si="18"/>
        <v>0.91326366270339443</v>
      </c>
      <c r="J312" s="3">
        <f t="shared" si="19"/>
        <v>8.673633729660557E-2</v>
      </c>
    </row>
    <row r="313" spans="6:10" ht="15.75" customHeight="1" x14ac:dyDescent="0.25">
      <c r="F313" s="2">
        <v>311</v>
      </c>
      <c r="G313" s="3">
        <f t="shared" si="16"/>
        <v>1.9279290160405661E-3</v>
      </c>
      <c r="H313" s="3">
        <f t="shared" si="17"/>
        <v>8.396051893806189E-2</v>
      </c>
      <c r="I313" s="3">
        <f t="shared" si="18"/>
        <v>0.91411155204589545</v>
      </c>
      <c r="J313" s="3">
        <f t="shared" si="19"/>
        <v>8.5888447954104552E-2</v>
      </c>
    </row>
    <row r="314" spans="6:10" ht="15.75" customHeight="1" x14ac:dyDescent="0.25">
      <c r="F314" s="2">
        <v>312</v>
      </c>
      <c r="G314" s="3">
        <f t="shared" si="16"/>
        <v>1.8895632286213587E-3</v>
      </c>
      <c r="H314" s="3">
        <f t="shared" si="17"/>
        <v>8.3159086743198884E-2</v>
      </c>
      <c r="I314" s="3">
        <f t="shared" si="18"/>
        <v>0.91495135002817762</v>
      </c>
      <c r="J314" s="3">
        <f t="shared" si="19"/>
        <v>8.5048649971822377E-2</v>
      </c>
    </row>
    <row r="315" spans="6:10" ht="15.75" customHeight="1" x14ac:dyDescent="0.25">
      <c r="F315" s="2">
        <v>313</v>
      </c>
      <c r="G315" s="3">
        <f t="shared" si="16"/>
        <v>1.8519609203717937E-3</v>
      </c>
      <c r="H315" s="3">
        <f t="shared" si="17"/>
        <v>8.2364909227693586E-2</v>
      </c>
      <c r="I315" s="3">
        <f t="shared" si="18"/>
        <v>0.91578312985193244</v>
      </c>
      <c r="J315" s="3">
        <f t="shared" si="19"/>
        <v>8.4216870148067557E-2</v>
      </c>
    </row>
    <row r="316" spans="6:10" ht="15.75" customHeight="1" x14ac:dyDescent="0.25">
      <c r="F316" s="2">
        <v>314</v>
      </c>
      <c r="G316" s="3">
        <f t="shared" si="16"/>
        <v>1.815106898056395E-3</v>
      </c>
      <c r="H316" s="3">
        <f t="shared" si="17"/>
        <v>8.1577928961640012E-2</v>
      </c>
      <c r="I316" s="3">
        <f t="shared" si="18"/>
        <v>0.91660696414030141</v>
      </c>
      <c r="J316" s="3">
        <f t="shared" si="19"/>
        <v>8.3393035859698594E-2</v>
      </c>
    </row>
    <row r="317" spans="6:10" ht="15.75" customHeight="1" x14ac:dyDescent="0.25">
      <c r="F317" s="2">
        <v>315</v>
      </c>
      <c r="G317" s="3">
        <f t="shared" si="16"/>
        <v>1.7789862707850727E-3</v>
      </c>
      <c r="H317" s="3">
        <f t="shared" si="17"/>
        <v>8.079808878860513E-2</v>
      </c>
      <c r="I317" s="3">
        <f t="shared" si="18"/>
        <v>0.91742292494060762</v>
      </c>
      <c r="J317" s="3">
        <f t="shared" si="19"/>
        <v>8.257707505939238E-2</v>
      </c>
    </row>
    <row r="318" spans="6:10" ht="15.75" customHeight="1" x14ac:dyDescent="0.25">
      <c r="F318" s="2">
        <v>316</v>
      </c>
      <c r="G318" s="3">
        <f t="shared" si="16"/>
        <v>1.7435844439964497E-3</v>
      </c>
      <c r="H318" s="3">
        <f t="shared" si="17"/>
        <v>8.0025331828880622E-2</v>
      </c>
      <c r="I318" s="3">
        <f t="shared" si="18"/>
        <v>0.9182310837271207</v>
      </c>
      <c r="J318" s="3">
        <f t="shared" si="19"/>
        <v>8.17689162728793E-2</v>
      </c>
    </row>
    <row r="319" spans="6:10" ht="15.75" customHeight="1" x14ac:dyDescent="0.25">
      <c r="F319" s="2">
        <v>317</v>
      </c>
      <c r="G319" s="3">
        <f t="shared" si="16"/>
        <v>1.7088871135609203E-3</v>
      </c>
      <c r="H319" s="3">
        <f t="shared" si="17"/>
        <v>7.9259601482582945E-2</v>
      </c>
      <c r="I319" s="3">
        <f t="shared" si="18"/>
        <v>0.91903151140385386</v>
      </c>
      <c r="J319" s="3">
        <f t="shared" si="19"/>
        <v>8.0968488596146138E-2</v>
      </c>
    </row>
    <row r="320" spans="6:10" ht="15.75" customHeight="1" x14ac:dyDescent="0.25">
      <c r="F320" s="2">
        <v>318</v>
      </c>
      <c r="G320" s="3">
        <f t="shared" si="16"/>
        <v>1.6748802600010579E-3</v>
      </c>
      <c r="H320" s="3">
        <f t="shared" si="17"/>
        <v>7.850084143260562E-2</v>
      </c>
      <c r="I320" s="3">
        <f t="shared" si="18"/>
        <v>0.919824278307391</v>
      </c>
      <c r="J320" s="3">
        <f t="shared" si="19"/>
        <v>8.0175721692609003E-2</v>
      </c>
    </row>
    <row r="321" spans="6:10" ht="15.75" customHeight="1" x14ac:dyDescent="0.25">
      <c r="F321" s="2">
        <v>319</v>
      </c>
      <c r="G321" s="3">
        <f t="shared" si="16"/>
        <v>1.6415501428270367E-3</v>
      </c>
      <c r="H321" s="3">
        <f t="shared" si="17"/>
        <v>7.7748995647427571E-2</v>
      </c>
      <c r="I321" s="3">
        <f t="shared" si="18"/>
        <v>0.92060945420974305</v>
      </c>
      <c r="J321" s="3">
        <f t="shared" si="19"/>
        <v>7.939054579025695E-2</v>
      </c>
    </row>
    <row r="322" spans="6:10" ht="15.75" customHeight="1" x14ac:dyDescent="0.25">
      <c r="F322" s="2">
        <v>320</v>
      </c>
      <c r="G322" s="3">
        <f t="shared" si="16"/>
        <v>1.6088832949847788E-3</v>
      </c>
      <c r="H322" s="3">
        <f t="shared" si="17"/>
        <v>7.7004008383781269E-2</v>
      </c>
      <c r="I322" s="3">
        <f t="shared" si="18"/>
        <v>0.92138710832123161</v>
      </c>
      <c r="J322" s="3">
        <f t="shared" si="19"/>
        <v>7.8612891678768393E-2</v>
      </c>
    </row>
    <row r="323" spans="6:10" ht="15.75" customHeight="1" x14ac:dyDescent="0.25">
      <c r="F323" s="2">
        <v>321</v>
      </c>
      <c r="G323" s="3">
        <f t="shared" ref="G323:G386" si="20">(G322*$B$5)+(H322*$B$6)+(I322*$B$7)</f>
        <v>1.5768665174145816E-3</v>
      </c>
      <c r="H323" s="3">
        <f t="shared" ref="H323:H386" si="21">(G322*$C$5)+(H322*$C$6)+(I322*$C$7)</f>
        <v>7.626582418918415E-2</v>
      </c>
      <c r="I323" s="3">
        <f t="shared" ref="I323:I386" si="22">(G322*$D$5)+(H322*$D$6)+(I322*$D$7)</f>
        <v>0.9221573092933989</v>
      </c>
      <c r="J323" s="3">
        <f t="shared" ref="J323:J386" si="23">1-I323</f>
        <v>7.7842690706601103E-2</v>
      </c>
    </row>
    <row r="324" spans="6:10" ht="15.75" customHeight="1" x14ac:dyDescent="0.25">
      <c r="F324" s="2">
        <v>322</v>
      </c>
      <c r="G324" s="3">
        <f t="shared" si="20"/>
        <v>1.5454868737180313E-3</v>
      </c>
      <c r="H324" s="3">
        <f t="shared" si="21"/>
        <v>7.5534387904337114E-2</v>
      </c>
      <c r="I324" s="3">
        <f t="shared" si="22"/>
        <v>0.92292012522194244</v>
      </c>
      <c r="J324" s="3">
        <f t="shared" si="23"/>
        <v>7.7079874778057555E-2</v>
      </c>
    </row>
    <row r="325" spans="6:10" ht="15.75" customHeight="1" x14ac:dyDescent="0.25">
      <c r="F325" s="2">
        <v>323</v>
      </c>
      <c r="G325" s="3">
        <f t="shared" si="20"/>
        <v>1.5147316849310425E-3</v>
      </c>
      <c r="H325" s="3">
        <f t="shared" si="21"/>
        <v>7.480964466539336E-2</v>
      </c>
      <c r="I325" s="3">
        <f t="shared" si="22"/>
        <v>0.92367562364967315</v>
      </c>
      <c r="J325" s="3">
        <f t="shared" si="23"/>
        <v>7.632437635032685E-2</v>
      </c>
    </row>
    <row r="326" spans="6:10" ht="15.75" customHeight="1" x14ac:dyDescent="0.25">
      <c r="F326" s="2">
        <v>324</v>
      </c>
      <c r="G326" s="3">
        <f t="shared" si="20"/>
        <v>1.4845885244009146E-3</v>
      </c>
      <c r="H326" s="3">
        <f t="shared" si="21"/>
        <v>7.4091539906101053E-2</v>
      </c>
      <c r="I326" s="3">
        <f t="shared" si="22"/>
        <v>0.92442387156949557</v>
      </c>
      <c r="J326" s="3">
        <f t="shared" si="23"/>
        <v>7.557612843050443E-2</v>
      </c>
    </row>
    <row r="327" spans="6:10" ht="15.75" customHeight="1" x14ac:dyDescent="0.25">
      <c r="F327" s="2">
        <v>325</v>
      </c>
      <c r="G327" s="3">
        <f t="shared" si="20"/>
        <v>1.4550452127653365E-3</v>
      </c>
      <c r="H327" s="3">
        <f t="shared" si="21"/>
        <v>7.3380019359823176E-2</v>
      </c>
      <c r="I327" s="3">
        <f t="shared" si="22"/>
        <v>0.92516493542740907</v>
      </c>
      <c r="J327" s="3">
        <f t="shared" si="23"/>
        <v>7.4835064572590926E-2</v>
      </c>
    </row>
    <row r="328" spans="6:10" ht="15.75" customHeight="1" x14ac:dyDescent="0.25">
      <c r="F328" s="2">
        <v>326</v>
      </c>
      <c r="G328" s="3">
        <f t="shared" si="20"/>
        <v>1.4260898130313063E-3</v>
      </c>
      <c r="H328" s="3">
        <f t="shared" si="21"/>
        <v>7.2675029061437704E-2</v>
      </c>
      <c r="I328" s="3">
        <f t="shared" si="22"/>
        <v>0.92589888112552854</v>
      </c>
      <c r="J328" s="3">
        <f t="shared" si="23"/>
        <v>7.4101118874471461E-2</v>
      </c>
    </row>
    <row r="329" spans="6:10" ht="15.75" customHeight="1" x14ac:dyDescent="0.25">
      <c r="F329" s="2">
        <v>327</v>
      </c>
      <c r="G329" s="3">
        <f t="shared" si="20"/>
        <v>1.3977106257519834E-3</v>
      </c>
      <c r="H329" s="3">
        <f t="shared" si="21"/>
        <v>7.1976515349121348E-2</v>
      </c>
      <c r="I329" s="3">
        <f t="shared" si="22"/>
        <v>0.92662577402512425</v>
      </c>
      <c r="J329" s="3">
        <f t="shared" si="23"/>
        <v>7.3374225974875751E-2</v>
      </c>
    </row>
    <row r="330" spans="6:10" ht="15.75" customHeight="1" x14ac:dyDescent="0.25">
      <c r="F330" s="2">
        <v>328</v>
      </c>
      <c r="G330" s="3">
        <f t="shared" si="20"/>
        <v>1.3698961842995188E-3</v>
      </c>
      <c r="H330" s="3">
        <f t="shared" si="21"/>
        <v>7.1284424866020019E-2</v>
      </c>
      <c r="I330" s="3">
        <f t="shared" si="22"/>
        <v>0.92734567894967801</v>
      </c>
      <c r="J330" s="3">
        <f t="shared" si="23"/>
        <v>7.2654321050321991E-2</v>
      </c>
    </row>
    <row r="331" spans="6:10" ht="15.75" customHeight="1" x14ac:dyDescent="0.25">
      <c r="F331" s="2">
        <v>329</v>
      </c>
      <c r="G331" s="3">
        <f t="shared" si="20"/>
        <v>1.3426352502319584E-3</v>
      </c>
      <c r="H331" s="3">
        <f t="shared" si="21"/>
        <v>7.0598704561808945E-2</v>
      </c>
      <c r="I331" s="3">
        <f t="shared" si="22"/>
        <v>0.92805866018795669</v>
      </c>
      <c r="J331" s="3">
        <f t="shared" si="23"/>
        <v>7.1941339812043315E-2</v>
      </c>
    </row>
    <row r="332" spans="6:10" ht="15.75" customHeight="1" x14ac:dyDescent="0.25">
      <c r="F332" s="2">
        <v>330</v>
      </c>
      <c r="G332" s="3">
        <f t="shared" si="20"/>
        <v>1.3159168087523423E-3</v>
      </c>
      <c r="H332" s="3">
        <f t="shared" si="21"/>
        <v>6.9919301694145453E-2</v>
      </c>
      <c r="I332" s="3">
        <f t="shared" si="22"/>
        <v>0.92876478149709984</v>
      </c>
      <c r="J332" s="3">
        <f t="shared" si="23"/>
        <v>7.1235218502900155E-2</v>
      </c>
    </row>
    <row r="333" spans="6:10" ht="15.75" customHeight="1" x14ac:dyDescent="0.25">
      <c r="F333" s="2">
        <v>331</v>
      </c>
      <c r="G333" s="3">
        <f t="shared" si="20"/>
        <v>1.2897300642581706E-3</v>
      </c>
      <c r="H333" s="3">
        <f t="shared" si="21"/>
        <v>6.9246163830017304E-2</v>
      </c>
      <c r="I333" s="3">
        <f t="shared" si="22"/>
        <v>0.92946410610572217</v>
      </c>
      <c r="J333" s="3">
        <f t="shared" si="23"/>
        <v>7.0535893894277835E-2</v>
      </c>
    </row>
    <row r="334" spans="6:10" ht="15.75" customHeight="1" x14ac:dyDescent="0.25">
      <c r="F334" s="2">
        <v>332</v>
      </c>
      <c r="G334" s="3">
        <f t="shared" si="20"/>
        <v>1.264064435979433E-3</v>
      </c>
      <c r="H334" s="3">
        <f t="shared" si="21"/>
        <v>6.8579238846989451E-2</v>
      </c>
      <c r="I334" s="3">
        <f t="shared" si="22"/>
        <v>0.93015669671702872</v>
      </c>
      <c r="J334" s="3">
        <f t="shared" si="23"/>
        <v>6.9843303282971281E-2</v>
      </c>
    </row>
    <row r="335" spans="6:10" ht="15.75" customHeight="1" x14ac:dyDescent="0.25">
      <c r="F335" s="2">
        <v>333</v>
      </c>
      <c r="G335" s="3">
        <f t="shared" si="20"/>
        <v>1.2389095537034423E-3</v>
      </c>
      <c r="H335" s="3">
        <f t="shared" si="21"/>
        <v>6.7918474934351949E-2</v>
      </c>
      <c r="I335" s="3">
        <f t="shared" si="22"/>
        <v>0.93084261551194225</v>
      </c>
      <c r="J335" s="3">
        <f t="shared" si="23"/>
        <v>6.9157384488057749E-2</v>
      </c>
    </row>
    <row r="336" spans="6:10" ht="15.75" customHeight="1" x14ac:dyDescent="0.25">
      <c r="F336" s="2">
        <v>334</v>
      </c>
      <c r="G336" s="3">
        <f t="shared" si="20"/>
        <v>1.2142552535847437E-3</v>
      </c>
      <c r="H336" s="3">
        <f t="shared" si="21"/>
        <v>6.7263820594171755E-2</v>
      </c>
      <c r="I336" s="3">
        <f t="shared" si="22"/>
        <v>0.93152192415224111</v>
      </c>
      <c r="J336" s="3">
        <f t="shared" si="23"/>
        <v>6.847807584775889E-2</v>
      </c>
    </row>
    <row r="337" spans="6:10" ht="15.75" customHeight="1" x14ac:dyDescent="0.25">
      <c r="F337" s="2">
        <v>335</v>
      </c>
      <c r="G337" s="3">
        <f t="shared" si="20"/>
        <v>1.1900915740384072E-3</v>
      </c>
      <c r="H337" s="3">
        <f t="shared" si="21"/>
        <v>6.6615224642251017E-2</v>
      </c>
      <c r="I337" s="3">
        <f t="shared" si="22"/>
        <v>0.93219468378370818</v>
      </c>
      <c r="J337" s="3">
        <f t="shared" si="23"/>
        <v>6.7805316216291822E-2</v>
      </c>
    </row>
    <row r="338" spans="6:10" ht="15.75" customHeight="1" x14ac:dyDescent="0.25">
      <c r="F338" s="2">
        <v>336</v>
      </c>
      <c r="G338" s="3">
        <f t="shared" si="20"/>
        <v>1.1664087517150429E-3</v>
      </c>
      <c r="H338" s="3">
        <f t="shared" si="21"/>
        <v>6.5972636208994462E-2</v>
      </c>
      <c r="I338" s="3">
        <f t="shared" si="22"/>
        <v>0.93286095503928812</v>
      </c>
      <c r="J338" s="3">
        <f t="shared" si="23"/>
        <v>6.713904496071188E-2</v>
      </c>
    </row>
    <row r="339" spans="6:10" ht="15.75" customHeight="1" x14ac:dyDescent="0.25">
      <c r="F339" s="2">
        <v>337</v>
      </c>
      <c r="G339" s="3">
        <f t="shared" si="20"/>
        <v>1.1431972175559135E-3</v>
      </c>
      <c r="H339" s="3">
        <f t="shared" si="21"/>
        <v>6.5336004740188483E-2</v>
      </c>
      <c r="I339" s="3">
        <f t="shared" si="22"/>
        <v>0.93352079804225319</v>
      </c>
      <c r="J339" s="3">
        <f t="shared" si="23"/>
        <v>6.6479201957746814E-2</v>
      </c>
    </row>
    <row r="340" spans="6:10" ht="15.75" customHeight="1" x14ac:dyDescent="0.25">
      <c r="F340" s="2">
        <v>338</v>
      </c>
      <c r="G340" s="3">
        <f t="shared" si="20"/>
        <v>1.1204475929265508E-3</v>
      </c>
      <c r="H340" s="3">
        <f t="shared" si="21"/>
        <v>6.4705279997694209E-2</v>
      </c>
      <c r="I340" s="3">
        <f t="shared" si="22"/>
        <v>0.93417427240937678</v>
      </c>
      <c r="J340" s="3">
        <f t="shared" si="23"/>
        <v>6.5825727590623218E-2</v>
      </c>
    </row>
    <row r="341" spans="6:10" ht="15.75" customHeight="1" x14ac:dyDescent="0.25">
      <c r="F341" s="2">
        <v>339</v>
      </c>
      <c r="G341" s="3">
        <f t="shared" si="20"/>
        <v>1.0981506858273125E-3</v>
      </c>
      <c r="H341" s="3">
        <f t="shared" si="21"/>
        <v>6.4080412060057212E-2</v>
      </c>
      <c r="I341" s="3">
        <f t="shared" si="22"/>
        <v>0.93482143725411304</v>
      </c>
      <c r="J341" s="3">
        <f t="shared" si="23"/>
        <v>6.5178562745886959E-2</v>
      </c>
    </row>
    <row r="342" spans="6:10" ht="15.75" customHeight="1" x14ac:dyDescent="0.25">
      <c r="F342" s="2">
        <v>340</v>
      </c>
      <c r="G342" s="3">
        <f t="shared" si="20"/>
        <v>1.0762974871793489E-3</v>
      </c>
      <c r="H342" s="3">
        <f t="shared" si="21"/>
        <v>6.3461351323036028E-2</v>
      </c>
      <c r="I342" s="3">
        <f t="shared" si="22"/>
        <v>0.93546235118978216</v>
      </c>
      <c r="J342" s="3">
        <f t="shared" si="23"/>
        <v>6.453764881021784E-2</v>
      </c>
    </row>
    <row r="343" spans="6:10" ht="15.75" customHeight="1" x14ac:dyDescent="0.25">
      <c r="F343" s="2">
        <v>341</v>
      </c>
      <c r="G343" s="3">
        <f t="shared" si="20"/>
        <v>1.0548791671844799E-3</v>
      </c>
      <c r="H343" s="3">
        <f t="shared" si="21"/>
        <v>6.2848048500051809E-2</v>
      </c>
      <c r="I343" s="3">
        <f t="shared" si="22"/>
        <v>0.93609707233276129</v>
      </c>
      <c r="J343" s="3">
        <f t="shared" si="23"/>
        <v>6.3902927667238707E-2</v>
      </c>
    </row>
    <row r="344" spans="6:10" ht="15.75" customHeight="1" x14ac:dyDescent="0.25">
      <c r="F344" s="2">
        <v>342</v>
      </c>
      <c r="G344" s="3">
        <f t="shared" si="20"/>
        <v>1.0338870717575086E-3</v>
      </c>
      <c r="H344" s="3">
        <f t="shared" si="21"/>
        <v>6.2240454622561545E-2</v>
      </c>
      <c r="I344" s="3">
        <f t="shared" si="22"/>
        <v>0.93672565830567855</v>
      </c>
      <c r="J344" s="3">
        <f t="shared" si="23"/>
        <v>6.3274341694321445E-2</v>
      </c>
    </row>
    <row r="345" spans="6:10" ht="15.75" customHeight="1" x14ac:dyDescent="0.25">
      <c r="F345" s="2">
        <v>343</v>
      </c>
      <c r="G345" s="3">
        <f t="shared" si="20"/>
        <v>1.0133127190295342E-3</v>
      </c>
      <c r="H345" s="3">
        <f t="shared" si="21"/>
        <v>6.1638521040356727E-2</v>
      </c>
      <c r="I345" s="3">
        <f t="shared" si="22"/>
        <v>0.93734816624061135</v>
      </c>
      <c r="J345" s="3">
        <f t="shared" si="23"/>
        <v>6.2651833759388653E-2</v>
      </c>
    </row>
    <row r="346" spans="6:10" ht="15.75" customHeight="1" x14ac:dyDescent="0.25">
      <c r="F346" s="2">
        <v>344</v>
      </c>
      <c r="G346" s="3">
        <f t="shared" si="20"/>
        <v>9.9314779592084637E-4</v>
      </c>
      <c r="H346" s="3">
        <f t="shared" si="21"/>
        <v>6.1042199421789942E-2</v>
      </c>
      <c r="I346" s="3">
        <f t="shared" si="22"/>
        <v>0.9379646527822868</v>
      </c>
      <c r="J346" s="3">
        <f t="shared" si="23"/>
        <v>6.2035347217713199E-2</v>
      </c>
    </row>
    <row r="347" spans="6:10" ht="15.75" customHeight="1" x14ac:dyDescent="0.25">
      <c r="F347" s="2">
        <v>345</v>
      </c>
      <c r="G347" s="3">
        <f t="shared" si="20"/>
        <v>9.733841547820215E-4</v>
      </c>
      <c r="H347" s="3">
        <f t="shared" si="21"/>
        <v>6.0451441753931273E-2</v>
      </c>
      <c r="I347" s="3">
        <f t="shared" si="22"/>
        <v>0.93857517409128433</v>
      </c>
      <c r="J347" s="3">
        <f t="shared" si="23"/>
        <v>6.1424825908715674E-2</v>
      </c>
    </row>
    <row r="348" spans="6:10" ht="15.75" customHeight="1" x14ac:dyDescent="0.25">
      <c r="F348" s="2">
        <v>346</v>
      </c>
      <c r="G348" s="3">
        <f t="shared" si="20"/>
        <v>9.5401381010185927E-4</v>
      </c>
      <c r="H348" s="3">
        <f t="shared" si="21"/>
        <v>5.9866200342656641E-2</v>
      </c>
      <c r="I348" s="3">
        <f t="shared" si="22"/>
        <v>0.93917978584723916</v>
      </c>
      <c r="J348" s="3">
        <f t="shared" si="23"/>
        <v>6.0820214152760843E-2</v>
      </c>
    </row>
    <row r="349" spans="6:10" ht="15.75" customHeight="1" x14ac:dyDescent="0.25">
      <c r="F349" s="2">
        <v>347</v>
      </c>
      <c r="G349" s="3">
        <f t="shared" si="20"/>
        <v>9.3502893528083224E-4</v>
      </c>
      <c r="H349" s="3">
        <f t="shared" si="21"/>
        <v>5.9286427812670094E-2</v>
      </c>
      <c r="I349" s="3">
        <f t="shared" si="22"/>
        <v>0.93977854325204668</v>
      </c>
      <c r="J349" s="3">
        <f t="shared" si="23"/>
        <v>6.0221456747953317E-2</v>
      </c>
    </row>
    <row r="350" spans="6:10" ht="15.75" customHeight="1" x14ac:dyDescent="0.25">
      <c r="F350" s="2">
        <v>348</v>
      </c>
      <c r="G350" s="3">
        <f t="shared" si="20"/>
        <v>9.1642185946874362E-4</v>
      </c>
      <c r="H350" s="3">
        <f t="shared" si="21"/>
        <v>5.871207710746195E-2</v>
      </c>
      <c r="I350" s="3">
        <f t="shared" si="22"/>
        <v>0.94037150103306688</v>
      </c>
      <c r="J350" s="3">
        <f t="shared" si="23"/>
        <v>5.9628498966933119E-2</v>
      </c>
    </row>
    <row r="351" spans="6:10" ht="15.75" customHeight="1" x14ac:dyDescent="0.25">
      <c r="F351" s="2">
        <v>349</v>
      </c>
      <c r="G351" s="3">
        <f t="shared" si="20"/>
        <v>8.9818506446531559E-4</v>
      </c>
      <c r="H351" s="3">
        <f t="shared" si="21"/>
        <v>5.8143101489204811E-2</v>
      </c>
      <c r="I351" s="3">
        <f t="shared" si="22"/>
        <v>0.94095871344632742</v>
      </c>
      <c r="J351" s="3">
        <f t="shared" si="23"/>
        <v>5.9041286553672578E-2</v>
      </c>
    </row>
    <row r="352" spans="6:10" ht="15.75" customHeight="1" x14ac:dyDescent="0.25">
      <c r="F352" s="2">
        <v>350</v>
      </c>
      <c r="G352" s="3">
        <f t="shared" si="20"/>
        <v>8.803111816824558E-4</v>
      </c>
      <c r="H352" s="3">
        <f t="shared" si="21"/>
        <v>5.7579454538589175E-2</v>
      </c>
      <c r="I352" s="3">
        <f t="shared" si="22"/>
        <v>0.94154023427972589</v>
      </c>
      <c r="J352" s="3">
        <f t="shared" si="23"/>
        <v>5.8459765720274115E-2</v>
      </c>
    </row>
    <row r="353" spans="6:10" ht="15.75" customHeight="1" x14ac:dyDescent="0.25">
      <c r="F353" s="2">
        <v>351</v>
      </c>
      <c r="G353" s="3">
        <f t="shared" si="20"/>
        <v>8.6279298916697492E-4</v>
      </c>
      <c r="H353" s="3">
        <f t="shared" si="21"/>
        <v>5.7021090154600593E-2</v>
      </c>
      <c r="I353" s="3">
        <f t="shared" si="22"/>
        <v>0.94211611685622998</v>
      </c>
      <c r="J353" s="3">
        <f t="shared" si="23"/>
        <v>5.7883883143770021E-2</v>
      </c>
    </row>
    <row r="354" spans="6:10" ht="15.75" customHeight="1" x14ac:dyDescent="0.25">
      <c r="F354" s="2">
        <v>352</v>
      </c>
      <c r="G354" s="3">
        <f t="shared" si="20"/>
        <v>8.4562340868255209E-4</v>
      </c>
      <c r="H354" s="3">
        <f t="shared" si="21"/>
        <v>5.6467962554240095E-2</v>
      </c>
      <c r="I354" s="3">
        <f t="shared" si="22"/>
        <v>0.94268641403707487</v>
      </c>
      <c r="J354" s="3">
        <f t="shared" si="23"/>
        <v>5.7313585962925129E-2</v>
      </c>
    </row>
    <row r="355" spans="6:10" ht="15.75" customHeight="1" x14ac:dyDescent="0.25">
      <c r="F355" s="2">
        <v>353</v>
      </c>
      <c r="G355" s="3">
        <f t="shared" si="20"/>
        <v>8.2879550284976932E-4</v>
      </c>
      <c r="H355" s="3">
        <f t="shared" si="21"/>
        <v>5.5920026272189609E-2</v>
      </c>
      <c r="I355" s="3">
        <f t="shared" si="22"/>
        <v>0.94325117822495819</v>
      </c>
      <c r="J355" s="3">
        <f t="shared" si="23"/>
        <v>5.6748821775041813E-2</v>
      </c>
    </row>
    <row r="356" spans="6:10" ht="15.75" customHeight="1" x14ac:dyDescent="0.25">
      <c r="F356" s="2">
        <v>354</v>
      </c>
      <c r="G356" s="3">
        <f t="shared" si="20"/>
        <v>8.1230247234305886E-4</v>
      </c>
      <c r="H356" s="3">
        <f t="shared" si="21"/>
        <v>5.5377236160424136E-2</v>
      </c>
      <c r="I356" s="3">
        <f t="shared" si="22"/>
        <v>0.94381046136723035</v>
      </c>
      <c r="J356" s="3">
        <f t="shared" si="23"/>
        <v>5.6189538632769653E-2</v>
      </c>
    </row>
    <row r="357" spans="6:10" ht="15.75" customHeight="1" x14ac:dyDescent="0.25">
      <c r="F357" s="2">
        <v>355</v>
      </c>
      <c r="G357" s="3">
        <f t="shared" si="20"/>
        <v>7.9613765314343196E-4</v>
      </c>
      <c r="H357" s="3">
        <f t="shared" si="21"/>
        <v>5.4839547387772289E-2</v>
      </c>
      <c r="I357" s="3">
        <f t="shared" si="22"/>
        <v>0.9443643149590818</v>
      </c>
      <c r="J357" s="3">
        <f t="shared" si="23"/>
        <v>5.5635685040918204E-2</v>
      </c>
    </row>
    <row r="358" spans="6:10" ht="15.75" customHeight="1" x14ac:dyDescent="0.25">
      <c r="F358" s="2">
        <v>356</v>
      </c>
      <c r="G358" s="3">
        <f t="shared" si="20"/>
        <v>7.8029451384587758E-4</v>
      </c>
      <c r="H358" s="3">
        <f t="shared" si="21"/>
        <v>5.4306915439426805E-2</v>
      </c>
      <c r="I358" s="3">
        <f t="shared" si="22"/>
        <v>0.94491279004672479</v>
      </c>
      <c r="J358" s="3">
        <f t="shared" si="23"/>
        <v>5.5087209953275207E-2</v>
      </c>
    </row>
    <row r="359" spans="6:10" ht="15.75" customHeight="1" x14ac:dyDescent="0.25">
      <c r="F359" s="2">
        <v>357</v>
      </c>
      <c r="G359" s="3">
        <f t="shared" si="20"/>
        <v>7.6476665302034456E-4</v>
      </c>
      <c r="H359" s="3">
        <f t="shared" si="21"/>
        <v>5.3779296116406687E-2</v>
      </c>
      <c r="I359" s="3">
        <f t="shared" si="22"/>
        <v>0.94545593723057042</v>
      </c>
      <c r="J359" s="3">
        <f t="shared" si="23"/>
        <v>5.454406276942958E-2</v>
      </c>
    </row>
    <row r="360" spans="6:10" ht="15.75" customHeight="1" x14ac:dyDescent="0.25">
      <c r="F360" s="2">
        <v>358</v>
      </c>
      <c r="G360" s="3">
        <f t="shared" si="20"/>
        <v>7.4954779662523966E-4</v>
      </c>
      <c r="H360" s="3">
        <f t="shared" si="21"/>
        <v>5.3256645534972426E-2</v>
      </c>
      <c r="I360" s="3">
        <f t="shared" si="22"/>
        <v>0.94599380666839983</v>
      </c>
      <c r="J360" s="3">
        <f t="shared" si="23"/>
        <v>5.4006193331600172E-2</v>
      </c>
    </row>
    <row r="361" spans="6:10" ht="15.75" customHeight="1" x14ac:dyDescent="0.25">
      <c r="F361" s="2">
        <v>359</v>
      </c>
      <c r="G361" s="3">
        <f t="shared" si="20"/>
        <v>7.3463179547239739E-4</v>
      </c>
      <c r="H361" s="3">
        <f t="shared" si="21"/>
        <v>5.2738920125995882E-2</v>
      </c>
      <c r="I361" s="3">
        <f t="shared" si="22"/>
        <v>0.94652644807852926</v>
      </c>
      <c r="J361" s="3">
        <f t="shared" si="23"/>
        <v>5.3473551921470741E-2</v>
      </c>
    </row>
    <row r="362" spans="6:10" ht="15.75" customHeight="1" x14ac:dyDescent="0.25">
      <c r="F362" s="2">
        <v>360</v>
      </c>
      <c r="G362" s="3">
        <f t="shared" si="20"/>
        <v>7.2001262274249669E-4</v>
      </c>
      <c r="H362" s="3">
        <f t="shared" si="21"/>
        <v>5.2226076634286279E-2</v>
      </c>
      <c r="I362" s="3">
        <f t="shared" si="22"/>
        <v>0.94705391074296874</v>
      </c>
      <c r="J362" s="3">
        <f t="shared" si="23"/>
        <v>5.2946089257031259E-2</v>
      </c>
    </row>
    <row r="363" spans="6:10" ht="15.75" customHeight="1" x14ac:dyDescent="0.25">
      <c r="F363" s="2">
        <v>361</v>
      </c>
      <c r="G363" s="3">
        <f t="shared" si="20"/>
        <v>7.0568437154992097E-4</v>
      </c>
      <c r="H363" s="3">
        <f t="shared" si="21"/>
        <v>5.1718072117873722E-2</v>
      </c>
      <c r="I363" s="3">
        <f t="shared" si="22"/>
        <v>0.9475762435105739</v>
      </c>
      <c r="J363" s="3">
        <f t="shared" si="23"/>
        <v>5.2423756489426099E-2</v>
      </c>
    </row>
    <row r="364" spans="6:10" ht="15.75" customHeight="1" x14ac:dyDescent="0.25">
      <c r="F364" s="2">
        <v>362</v>
      </c>
      <c r="G364" s="3">
        <f t="shared" si="20"/>
        <v>6.9164125255607751E-4</v>
      </c>
      <c r="H364" s="3">
        <f t="shared" si="21"/>
        <v>5.1214863947251672E-2</v>
      </c>
      <c r="I364" s="3">
        <f t="shared" si="22"/>
        <v>0.94809349480018978</v>
      </c>
      <c r="J364" s="3">
        <f t="shared" si="23"/>
        <v>5.1906505199810216E-2</v>
      </c>
    </row>
    <row r="365" spans="6:10" ht="15.75" customHeight="1" x14ac:dyDescent="0.25">
      <c r="F365" s="2">
        <v>363</v>
      </c>
      <c r="G365" s="3">
        <f t="shared" si="20"/>
        <v>6.7787759163021153E-4</v>
      </c>
      <c r="H365" s="3">
        <f t="shared" si="21"/>
        <v>5.0716409804579761E-2</v>
      </c>
      <c r="I365" s="3">
        <f t="shared" si="22"/>
        <v>0.94860571260378757</v>
      </c>
      <c r="J365" s="3">
        <f t="shared" si="23"/>
        <v>5.1394287396212435E-2</v>
      </c>
    </row>
    <row r="366" spans="6:10" ht="15.75" customHeight="1" x14ac:dyDescent="0.25">
      <c r="F366" s="2">
        <v>364</v>
      </c>
      <c r="G366" s="3">
        <f t="shared" si="20"/>
        <v>6.643878275567703E-4</v>
      </c>
      <c r="H366" s="3">
        <f t="shared" si="21"/>
        <v>5.0222667682848242E-2</v>
      </c>
      <c r="I366" s="3">
        <f t="shared" si="22"/>
        <v>0.94911294448959249</v>
      </c>
      <c r="J366" s="3">
        <f t="shared" si="23"/>
        <v>5.0887055510407508E-2</v>
      </c>
    </row>
    <row r="367" spans="6:10" ht="15.75" customHeight="1" x14ac:dyDescent="0.25">
      <c r="F367" s="2">
        <v>365</v>
      </c>
      <c r="G367" s="3">
        <f t="shared" si="20"/>
        <v>6.5116650978839054E-4</v>
      </c>
      <c r="H367" s="3">
        <f t="shared" si="21"/>
        <v>4.973359588500538E-2</v>
      </c>
      <c r="I367" s="3">
        <f t="shared" si="22"/>
        <v>0.94961523760520372</v>
      </c>
      <c r="J367" s="3">
        <f t="shared" si="23"/>
        <v>5.0384762394796279E-2</v>
      </c>
    </row>
    <row r="368" spans="6:10" ht="15.75" customHeight="1" x14ac:dyDescent="0.25">
      <c r="F368" s="2">
        <v>366</v>
      </c>
      <c r="G368" s="3">
        <f t="shared" si="20"/>
        <v>6.3820829624360151E-4</v>
      </c>
      <c r="H368" s="3">
        <f t="shared" si="21"/>
        <v>4.9249153023049136E-2</v>
      </c>
      <c r="I368" s="3">
        <f t="shared" si="22"/>
        <v>0.95011263868070472</v>
      </c>
      <c r="J368" s="3">
        <f t="shared" si="23"/>
        <v>4.9887361319295276E-2</v>
      </c>
    </row>
    <row r="369" spans="6:10" ht="15.75" customHeight="1" x14ac:dyDescent="0.25">
      <c r="F369" s="2">
        <v>367</v>
      </c>
      <c r="G369" s="3">
        <f t="shared" si="20"/>
        <v>6.2550795114835384E-4</v>
      </c>
      <c r="H369" s="3">
        <f t="shared" si="21"/>
        <v>4.8769298017084267E-2</v>
      </c>
      <c r="I369" s="3">
        <f t="shared" si="22"/>
        <v>0.9506051940317648</v>
      </c>
      <c r="J369" s="3">
        <f t="shared" si="23"/>
        <v>4.93948059682352E-2</v>
      </c>
    </row>
    <row r="370" spans="6:10" ht="15.75" customHeight="1" x14ac:dyDescent="0.25">
      <c r="F370" s="2">
        <v>368</v>
      </c>
      <c r="G370" s="3">
        <f t="shared" si="20"/>
        <v>6.1306034292050158E-4</v>
      </c>
      <c r="H370" s="3">
        <f t="shared" si="21"/>
        <v>4.8293990094346158E-2</v>
      </c>
      <c r="I370" s="3">
        <f t="shared" si="22"/>
        <v>0.95109294956273072</v>
      </c>
      <c r="J370" s="3">
        <f t="shared" si="23"/>
        <v>4.8907050437269284E-2</v>
      </c>
    </row>
    <row r="371" spans="6:10" ht="15.75" customHeight="1" x14ac:dyDescent="0.25">
      <c r="F371" s="2">
        <v>369</v>
      </c>
      <c r="G371" s="3">
        <f t="shared" si="20"/>
        <v>6.0086044209638363E-4</v>
      </c>
      <c r="H371" s="3">
        <f t="shared" si="21"/>
        <v>4.7823188788192521E-2</v>
      </c>
      <c r="I371" s="3">
        <f t="shared" si="22"/>
        <v>0.95157595076970847</v>
      </c>
      <c r="J371" s="3">
        <f t="shared" si="23"/>
        <v>4.8424049230291533E-2</v>
      </c>
    </row>
    <row r="372" spans="6:10" ht="15.75" customHeight="1" x14ac:dyDescent="0.25">
      <c r="F372" s="2">
        <v>370</v>
      </c>
      <c r="G372" s="3">
        <f t="shared" si="20"/>
        <v>5.8890331929866563E-4</v>
      </c>
      <c r="H372" s="3">
        <f t="shared" si="21"/>
        <v>4.7356853937064104E-2</v>
      </c>
      <c r="I372" s="3">
        <f t="shared" si="22"/>
        <v>0.95205424274363459</v>
      </c>
      <c r="J372" s="3">
        <f t="shared" si="23"/>
        <v>4.7945757256365407E-2</v>
      </c>
    </row>
    <row r="373" spans="6:10" ht="15.75" customHeight="1" x14ac:dyDescent="0.25">
      <c r="F373" s="2">
        <v>371</v>
      </c>
      <c r="G373" s="3">
        <f t="shared" si="20"/>
        <v>5.7718414324462212E-4</v>
      </c>
      <c r="H373" s="3">
        <f t="shared" si="21"/>
        <v>4.6894945683415581E-2</v>
      </c>
      <c r="I373" s="3">
        <f t="shared" si="22"/>
        <v>0.95252787017333718</v>
      </c>
      <c r="J373" s="3">
        <f t="shared" si="23"/>
        <v>4.7472129826662823E-2</v>
      </c>
    </row>
    <row r="374" spans="6:10" ht="15.75" customHeight="1" x14ac:dyDescent="0.25">
      <c r="F374" s="2">
        <v>372</v>
      </c>
      <c r="G374" s="3">
        <f t="shared" si="20"/>
        <v>5.6569817879405411E-4</v>
      </c>
      <c r="H374" s="3">
        <f t="shared" si="21"/>
        <v>4.6437424472617665E-2</v>
      </c>
      <c r="I374" s="3">
        <f t="shared" si="22"/>
        <v>0.95299687734858562</v>
      </c>
      <c r="J374" s="3">
        <f t="shared" si="23"/>
        <v>4.7003122651414375E-2</v>
      </c>
    </row>
    <row r="375" spans="6:10" ht="15.75" customHeight="1" x14ac:dyDescent="0.25">
      <c r="F375" s="2">
        <v>373</v>
      </c>
      <c r="G375" s="3">
        <f t="shared" si="20"/>
        <v>5.5444078503605245E-4</v>
      </c>
      <c r="H375" s="3">
        <f t="shared" si="21"/>
        <v>4.5984251051831605E-2</v>
      </c>
      <c r="I375" s="3">
        <f t="shared" si="22"/>
        <v>0.95346130816312968</v>
      </c>
      <c r="J375" s="3">
        <f t="shared" si="23"/>
        <v>4.6538691836870316E-2</v>
      </c>
    </row>
    <row r="376" spans="6:10" ht="15.75" customHeight="1" x14ac:dyDescent="0.25">
      <c r="F376" s="2">
        <v>374</v>
      </c>
      <c r="G376" s="3">
        <f t="shared" si="20"/>
        <v>5.4340741341383494E-4</v>
      </c>
      <c r="H376" s="3">
        <f t="shared" si="21"/>
        <v>4.5535386468856999E-2</v>
      </c>
      <c r="I376" s="3">
        <f t="shared" si="22"/>
        <v>0.95392120611772646</v>
      </c>
      <c r="J376" s="3">
        <f t="shared" si="23"/>
        <v>4.6078793882273539E-2</v>
      </c>
    </row>
    <row r="377" spans="6:10" ht="15.75" customHeight="1" x14ac:dyDescent="0.25">
      <c r="F377" s="2">
        <v>375</v>
      </c>
      <c r="G377" s="3">
        <f t="shared" si="20"/>
        <v>5.3259360588689961E-4</v>
      </c>
      <c r="H377" s="3">
        <f t="shared" si="21"/>
        <v>4.5090792070954025E-2</v>
      </c>
      <c r="I377" s="3">
        <f t="shared" si="22"/>
        <v>0.95437661432315635</v>
      </c>
      <c r="J377" s="3">
        <f t="shared" si="23"/>
        <v>4.5623385676843653E-2</v>
      </c>
    </row>
    <row r="378" spans="6:10" ht="15.75" customHeight="1" x14ac:dyDescent="0.25">
      <c r="F378" s="2">
        <v>376</v>
      </c>
      <c r="G378" s="3">
        <f t="shared" si="20"/>
        <v>5.2199499312975033E-4</v>
      </c>
      <c r="H378" s="3">
        <f t="shared" si="21"/>
        <v>4.4650429503641044E-2</v>
      </c>
      <c r="I378" s="3">
        <f t="shared" si="22"/>
        <v>0.9548275755032265</v>
      </c>
      <c r="J378" s="3">
        <f t="shared" si="23"/>
        <v>4.51724244967735E-2</v>
      </c>
    </row>
    <row r="379" spans="6:10" ht="15.75" customHeight="1" x14ac:dyDescent="0.25">
      <c r="F379" s="2">
        <v>377</v>
      </c>
      <c r="G379" s="3">
        <f t="shared" si="20"/>
        <v>5.1160729276646826E-4</v>
      </c>
      <c r="H379" s="3">
        <f t="shared" si="21"/>
        <v>4.42142607094686E-2</v>
      </c>
      <c r="I379" s="3">
        <f t="shared" si="22"/>
        <v>0.95527413199776223</v>
      </c>
      <c r="J379" s="3">
        <f t="shared" si="23"/>
        <v>4.4725868002237767E-2</v>
      </c>
    </row>
    <row r="380" spans="6:10" ht="15.75" customHeight="1" x14ac:dyDescent="0.25">
      <c r="F380" s="2">
        <v>378</v>
      </c>
      <c r="G380" s="3">
        <f t="shared" si="20"/>
        <v>5.0142630764041555E-4</v>
      </c>
      <c r="H380" s="3">
        <f t="shared" si="21"/>
        <v>4.3782247926770691E-2</v>
      </c>
      <c r="I380" s="3">
        <f t="shared" si="22"/>
        <v>0.95571632576558618</v>
      </c>
      <c r="J380" s="3">
        <f t="shared" si="23"/>
        <v>4.4283674234413817E-2</v>
      </c>
    </row>
    <row r="381" spans="6:10" ht="15.75" customHeight="1" x14ac:dyDescent="0.25">
      <c r="F381" s="2">
        <v>379</v>
      </c>
      <c r="G381" s="3">
        <f t="shared" si="20"/>
        <v>4.9144792411837124E-4</v>
      </c>
      <c r="H381" s="3">
        <f t="shared" si="21"/>
        <v>4.3354353688394263E-2</v>
      </c>
      <c r="I381" s="3">
        <f t="shared" si="22"/>
        <v>0.95615419838748461</v>
      </c>
      <c r="J381" s="3">
        <f t="shared" si="23"/>
        <v>4.3845801612515389E-2</v>
      </c>
    </row>
    <row r="382" spans="6:10" ht="15.75" customHeight="1" x14ac:dyDescent="0.25">
      <c r="F382" s="2">
        <v>380</v>
      </c>
      <c r="G382" s="3">
        <f t="shared" si="20"/>
        <v>4.8166811042841564E-4</v>
      </c>
      <c r="H382" s="3">
        <f t="shared" si="21"/>
        <v>4.2930540820407863E-2</v>
      </c>
      <c r="I382" s="3">
        <f t="shared" si="22"/>
        <v>0.95658779106916092</v>
      </c>
      <c r="J382" s="3">
        <f t="shared" si="23"/>
        <v>4.341220893083908E-2</v>
      </c>
    </row>
    <row r="383" spans="6:10" ht="15.75" customHeight="1" x14ac:dyDescent="0.25">
      <c r="F383" s="2">
        <v>381</v>
      </c>
      <c r="G383" s="3">
        <f t="shared" si="20"/>
        <v>4.7208291503089017E-4</v>
      </c>
      <c r="H383" s="3">
        <f t="shared" si="21"/>
        <v>4.2510772440790268E-2</v>
      </c>
      <c r="I383" s="3">
        <f t="shared" si="22"/>
        <v>0.95701714464417609</v>
      </c>
      <c r="J383" s="3">
        <f t="shared" si="23"/>
        <v>4.2982855355823912E-2</v>
      </c>
    </row>
    <row r="384" spans="6:10" ht="15.75" customHeight="1" x14ac:dyDescent="0.25">
      <c r="F384" s="2">
        <v>382</v>
      </c>
      <c r="G384" s="3">
        <f t="shared" si="20"/>
        <v>4.6268846502177543E-4</v>
      </c>
      <c r="H384" s="3">
        <f t="shared" si="21"/>
        <v>4.2095011958099976E-2</v>
      </c>
      <c r="I384" s="3">
        <f t="shared" si="22"/>
        <v>0.95744229957687554</v>
      </c>
      <c r="J384" s="3">
        <f t="shared" si="23"/>
        <v>4.2557700423124456E-2</v>
      </c>
    </row>
    <row r="385" spans="6:10" ht="15.75" customHeight="1" x14ac:dyDescent="0.25">
      <c r="F385" s="2">
        <v>383</v>
      </c>
      <c r="G385" s="3">
        <f t="shared" si="20"/>
        <v>4.5348096456784208E-4</v>
      </c>
      <c r="H385" s="3">
        <f t="shared" si="21"/>
        <v>4.1683223070126403E-2</v>
      </c>
      <c r="I385" s="3">
        <f t="shared" si="22"/>
        <v>0.95786329596530306</v>
      </c>
      <c r="J385" s="3">
        <f t="shared" si="23"/>
        <v>4.2136704034696937E-2</v>
      </c>
    </row>
    <row r="386" spans="6:10" ht="15.75" customHeight="1" x14ac:dyDescent="0.25">
      <c r="F386" s="2">
        <v>384</v>
      </c>
      <c r="G386" s="3">
        <f t="shared" si="20"/>
        <v>4.4445669337294199E-4</v>
      </c>
      <c r="H386" s="3">
        <f t="shared" si="21"/>
        <v>4.1275369762523585E-2</v>
      </c>
      <c r="I386" s="3">
        <f t="shared" si="22"/>
        <v>0.95828017354410078</v>
      </c>
      <c r="J386" s="3">
        <f t="shared" si="23"/>
        <v>4.1719826455899223E-2</v>
      </c>
    </row>
    <row r="387" spans="6:10" ht="15.75" customHeight="1" x14ac:dyDescent="0.25">
      <c r="F387" s="2">
        <v>385</v>
      </c>
      <c r="G387" s="3">
        <f t="shared" ref="G387:G450" si="24">(G386*$B$5)+(H386*$B$6)+(I386*$B$7)</f>
        <v>4.3561200517482041E-4</v>
      </c>
      <c r="H387" s="3">
        <f t="shared" ref="H387:H450" si="25">(G386*$C$5)+(H386*$C$6)+(I386*$C$7)</f>
        <v>4.0871416307427133E-2</v>
      </c>
      <c r="I387" s="3">
        <f t="shared" ref="I387:I450" si="26">(G386*$D$5)+(H386*$D$6)+(I386*$D$7)</f>
        <v>0.95869297168739531</v>
      </c>
      <c r="J387" s="3">
        <f t="shared" ref="J387:J450" si="27">1-I387</f>
        <v>4.1307028312604688E-2</v>
      </c>
    </row>
    <row r="388" spans="6:10" ht="15.75" customHeight="1" x14ac:dyDescent="0.25">
      <c r="F388" s="2">
        <v>386</v>
      </c>
      <c r="G388" s="3">
        <f t="shared" si="24"/>
        <v>4.2694332627184146E-4</v>
      </c>
      <c r="H388" s="3">
        <f t="shared" si="25"/>
        <v>4.0471327262055323E-2</v>
      </c>
      <c r="I388" s="3">
        <f t="shared" si="26"/>
        <v>0.95910172941167016</v>
      </c>
      <c r="J388" s="3">
        <f t="shared" si="27"/>
        <v>4.0898270588329844E-2</v>
      </c>
    </row>
    <row r="389" spans="6:10" ht="15.75" customHeight="1" x14ac:dyDescent="0.25">
      <c r="F389" s="2">
        <v>387</v>
      </c>
      <c r="G389" s="3">
        <f t="shared" si="24"/>
        <v>4.1844715407903183E-4</v>
      </c>
      <c r="H389" s="3">
        <f t="shared" si="25"/>
        <v>4.0075067467294952E-2</v>
      </c>
      <c r="I389" s="3">
        <f t="shared" si="26"/>
        <v>0.95950648537862337</v>
      </c>
      <c r="J389" s="3">
        <f t="shared" si="27"/>
        <v>4.0493514621376625E-2</v>
      </c>
    </row>
    <row r="390" spans="6:10" ht="15.75" customHeight="1" x14ac:dyDescent="0.25">
      <c r="F390" s="2">
        <v>388</v>
      </c>
      <c r="G390" s="3">
        <f t="shared" si="24"/>
        <v>4.1012005571285906E-4</v>
      </c>
      <c r="H390" s="3">
        <f t="shared" si="25"/>
        <v>3.9682602046272768E-2</v>
      </c>
      <c r="I390" s="3">
        <f t="shared" si="26"/>
        <v>0.95990727789801178</v>
      </c>
      <c r="J390" s="3">
        <f t="shared" si="27"/>
        <v>4.0092722101988221E-2</v>
      </c>
    </row>
    <row r="391" spans="6:10" ht="15.75" customHeight="1" x14ac:dyDescent="0.25">
      <c r="F391" s="2">
        <v>389</v>
      </c>
      <c r="G391" s="3">
        <f t="shared" si="24"/>
        <v>4.0195866660417318E-4</v>
      </c>
      <c r="H391" s="3">
        <f t="shared" si="25"/>
        <v>3.9293896402913156E-2</v>
      </c>
      <c r="I391" s="3">
        <f t="shared" si="26"/>
        <v>0.96030414493048011</v>
      </c>
      <c r="J391" s="3">
        <f t="shared" si="27"/>
        <v>3.9695855069519892E-2</v>
      </c>
    </row>
    <row r="392" spans="6:10" ht="15.75" customHeight="1" x14ac:dyDescent="0.25">
      <c r="F392" s="2">
        <v>390</v>
      </c>
      <c r="G392" s="3">
        <f t="shared" si="24"/>
        <v>3.9395968913875012E-4</v>
      </c>
      <c r="H392" s="3">
        <f t="shared" si="25"/>
        <v>3.8908916220482787E-2</v>
      </c>
      <c r="I392" s="3">
        <f t="shared" si="26"/>
        <v>0.96069712409037589</v>
      </c>
      <c r="J392" s="3">
        <f t="shared" si="27"/>
        <v>3.9302875909624113E-2</v>
      </c>
    </row>
    <row r="393" spans="6:10" ht="15.75" customHeight="1" x14ac:dyDescent="0.25">
      <c r="F393" s="2">
        <v>391</v>
      </c>
      <c r="G393" s="3">
        <f t="shared" si="24"/>
        <v>3.8611989132488899E-4</v>
      </c>
      <c r="H393" s="3">
        <f t="shared" si="25"/>
        <v>3.8527627460122907E-2</v>
      </c>
      <c r="I393" s="3">
        <f t="shared" si="26"/>
        <v>0.96108625264854963</v>
      </c>
      <c r="J393" s="3">
        <f t="shared" si="27"/>
        <v>3.8913747351450367E-2</v>
      </c>
    </row>
    <row r="394" spans="6:10" ht="15.75" customHeight="1" x14ac:dyDescent="0.25">
      <c r="F394" s="2">
        <v>392</v>
      </c>
      <c r="G394" s="3">
        <f t="shared" si="24"/>
        <v>3.7843610548752367E-4</v>
      </c>
      <c r="H394" s="3">
        <f t="shared" si="25"/>
        <v>3.8149996359369914E-2</v>
      </c>
      <c r="I394" s="3">
        <f t="shared" si="26"/>
        <v>0.96147156753513996</v>
      </c>
      <c r="J394" s="3">
        <f t="shared" si="27"/>
        <v>3.8528432464860041E-2</v>
      </c>
    </row>
    <row r="395" spans="6:10" ht="15.75" customHeight="1" x14ac:dyDescent="0.25">
      <c r="F395" s="2">
        <v>393</v>
      </c>
      <c r="G395" s="3">
        <f t="shared" si="24"/>
        <v>3.7090522698832195E-4</v>
      </c>
      <c r="H395" s="3">
        <f t="shared" si="25"/>
        <v>3.7775989430664868E-2</v>
      </c>
      <c r="I395" s="3">
        <f t="shared" si="26"/>
        <v>0.96185310534234425</v>
      </c>
      <c r="J395" s="3">
        <f t="shared" si="27"/>
        <v>3.814689465765575E-2</v>
      </c>
    </row>
    <row r="396" spans="6:10" ht="15.75" customHeight="1" x14ac:dyDescent="0.25">
      <c r="F396" s="2">
        <v>394</v>
      </c>
      <c r="G396" s="3">
        <f t="shared" si="24"/>
        <v>3.6352421297125434E-4</v>
      </c>
      <c r="H396" s="3">
        <f t="shared" si="25"/>
        <v>3.7405573459852591E-2</v>
      </c>
      <c r="I396" s="3">
        <f t="shared" si="26"/>
        <v>0.96223090232717357</v>
      </c>
      <c r="J396" s="3">
        <f t="shared" si="27"/>
        <v>3.7769097672826435E-2</v>
      </c>
    </row>
    <row r="397" spans="6:10" ht="15.75" customHeight="1" x14ac:dyDescent="0.25">
      <c r="F397" s="2">
        <v>395</v>
      </c>
      <c r="G397" s="3">
        <f t="shared" si="24"/>
        <v>3.5629008113312636E-4</v>
      </c>
      <c r="H397" s="3">
        <f t="shared" si="25"/>
        <v>3.7038715504670895E-2</v>
      </c>
      <c r="I397" s="3">
        <f t="shared" si="26"/>
        <v>0.96260499441419334</v>
      </c>
      <c r="J397" s="3">
        <f t="shared" si="27"/>
        <v>3.7395005585806662E-2</v>
      </c>
    </row>
    <row r="398" spans="6:10" ht="15.75" customHeight="1" x14ac:dyDescent="0.25">
      <c r="F398" s="2">
        <v>396</v>
      </c>
      <c r="G398" s="3">
        <f t="shared" si="24"/>
        <v>3.4919990851857712E-4</v>
      </c>
      <c r="H398" s="3">
        <f t="shared" si="25"/>
        <v>3.6675382893230621E-2</v>
      </c>
      <c r="I398" s="3">
        <f t="shared" si="26"/>
        <v>0.9629754171982482</v>
      </c>
      <c r="J398" s="3">
        <f t="shared" si="27"/>
        <v>3.7024582801751804E-2</v>
      </c>
    </row>
    <row r="399" spans="6:10" ht="15.75" customHeight="1" x14ac:dyDescent="0.25">
      <c r="F399" s="2">
        <v>397</v>
      </c>
      <c r="G399" s="3">
        <f t="shared" si="24"/>
        <v>3.4225083033905744E-4</v>
      </c>
      <c r="H399" s="3">
        <f t="shared" si="25"/>
        <v>3.6315543222486979E-2</v>
      </c>
      <c r="I399" s="3">
        <f t="shared" si="26"/>
        <v>0.96334220594717135</v>
      </c>
      <c r="J399" s="3">
        <f t="shared" si="27"/>
        <v>3.6657794052828652E-2</v>
      </c>
    </row>
    <row r="400" spans="6:10" ht="15.75" customHeight="1" x14ac:dyDescent="0.25">
      <c r="F400" s="2">
        <v>398</v>
      </c>
      <c r="G400" s="3">
        <f t="shared" si="24"/>
        <v>3.3544003881531018E-4</v>
      </c>
      <c r="H400" s="3">
        <f t="shared" si="25"/>
        <v>3.5959164356702822E-2</v>
      </c>
      <c r="I400" s="3">
        <f t="shared" si="26"/>
        <v>0.96370539560447921</v>
      </c>
      <c r="J400" s="3">
        <f t="shared" si="27"/>
        <v>3.6294604395520791E-2</v>
      </c>
    </row>
    <row r="401" spans="6:10" ht="15.75" customHeight="1" x14ac:dyDescent="0.25">
      <c r="F401" s="2">
        <v>399</v>
      </c>
      <c r="G401" s="3">
        <f t="shared" si="24"/>
        <v>3.2876478204288547E-4</v>
      </c>
      <c r="H401" s="3">
        <f t="shared" si="25"/>
        <v>3.5606214425904337E-2</v>
      </c>
      <c r="I401" s="3">
        <f t="shared" si="26"/>
        <v>0.96406502079205014</v>
      </c>
      <c r="J401" s="3">
        <f t="shared" si="27"/>
        <v>3.5934979207949858E-2</v>
      </c>
    </row>
    <row r="402" spans="6:10" ht="15.75" customHeight="1" x14ac:dyDescent="0.25">
      <c r="F402" s="2">
        <v>400</v>
      </c>
      <c r="G402" s="3">
        <f t="shared" si="24"/>
        <v>3.2222236288023204E-4</v>
      </c>
      <c r="H402" s="3">
        <f t="shared" si="25"/>
        <v>3.5256661824329738E-2</v>
      </c>
      <c r="I402" s="3">
        <f t="shared" si="26"/>
        <v>0.96442111581278744</v>
      </c>
      <c r="J402" s="3">
        <f t="shared" si="27"/>
        <v>3.5578884187212556E-2</v>
      </c>
    </row>
    <row r="403" spans="6:10" ht="15.75" customHeight="1" x14ac:dyDescent="0.25">
      <c r="F403" s="2">
        <v>401</v>
      </c>
      <c r="G403" s="3">
        <f t="shared" si="24"/>
        <v>3.1581013785891539E-4</v>
      </c>
      <c r="H403" s="3">
        <f t="shared" si="25"/>
        <v>3.4910475208871472E-2</v>
      </c>
      <c r="I403" s="3">
        <f t="shared" si="26"/>
        <v>0.964773714653267</v>
      </c>
      <c r="J403" s="3">
        <f t="shared" si="27"/>
        <v>3.5226285346732999E-2</v>
      </c>
    </row>
    <row r="404" spans="6:10" ht="15.75" customHeight="1" x14ac:dyDescent="0.25">
      <c r="F404" s="2">
        <v>402</v>
      </c>
      <c r="G404" s="3">
        <f t="shared" si="24"/>
        <v>3.0952551611552299E-4</v>
      </c>
      <c r="H404" s="3">
        <f t="shared" si="25"/>
        <v>3.4567623497512363E-2</v>
      </c>
      <c r="I404" s="3">
        <f t="shared" si="26"/>
        <v>0.96512285098636952</v>
      </c>
      <c r="J404" s="3">
        <f t="shared" si="27"/>
        <v>3.4877149013630482E-2</v>
      </c>
    </row>
    <row r="405" spans="6:10" ht="15.75" customHeight="1" x14ac:dyDescent="0.25">
      <c r="F405" s="2">
        <v>403</v>
      </c>
      <c r="G405" s="3">
        <f t="shared" si="24"/>
        <v>3.0336595834482406E-4</v>
      </c>
      <c r="H405" s="3">
        <f t="shared" si="25"/>
        <v>3.4228075867756322E-2</v>
      </c>
      <c r="I405" s="3">
        <f t="shared" si="26"/>
        <v>0.96546855817389621</v>
      </c>
      <c r="J405" s="3">
        <f t="shared" si="27"/>
        <v>3.4531441826103793E-2</v>
      </c>
    </row>
    <row r="406" spans="6:10" ht="15.75" customHeight="1" x14ac:dyDescent="0.25">
      <c r="F406" s="2">
        <v>404</v>
      </c>
      <c r="G406" s="3">
        <f t="shared" si="24"/>
        <v>2.9732897577376205E-4</v>
      </c>
      <c r="H406" s="3">
        <f t="shared" si="25"/>
        <v>3.3891801755053984E-2</v>
      </c>
      <c r="I406" s="3">
        <f t="shared" si="26"/>
        <v>0.96581086926916959</v>
      </c>
      <c r="J406" s="3">
        <f t="shared" si="27"/>
        <v>3.4189130730830408E-2</v>
      </c>
    </row>
    <row r="407" spans="6:10" ht="15.75" customHeight="1" x14ac:dyDescent="0.25">
      <c r="F407" s="2">
        <v>405</v>
      </c>
      <c r="G407" s="3">
        <f t="shared" si="24"/>
        <v>2.9141212915586418E-4</v>
      </c>
      <c r="H407" s="3">
        <f t="shared" si="25"/>
        <v>3.3558770851223767E-2</v>
      </c>
      <c r="I407" s="3">
        <f t="shared" si="26"/>
        <v>0.96614981701961766</v>
      </c>
      <c r="J407" s="3">
        <f t="shared" si="27"/>
        <v>3.3850182980382337E-2</v>
      </c>
    </row>
    <row r="408" spans="6:10" ht="15.75" customHeight="1" x14ac:dyDescent="0.25">
      <c r="F408" s="2">
        <v>406</v>
      </c>
      <c r="G408" s="3">
        <f t="shared" si="24"/>
        <v>2.8561302778566249E-4</v>
      </c>
      <c r="H408" s="3">
        <f t="shared" si="25"/>
        <v>3.3228953102868809E-2</v>
      </c>
      <c r="I408" s="3">
        <f t="shared" si="26"/>
        <v>0.96648543386934282</v>
      </c>
      <c r="J408" s="3">
        <f t="shared" si="27"/>
        <v>3.3514566130657175E-2</v>
      </c>
    </row>
    <row r="409" spans="6:10" ht="15.75" customHeight="1" x14ac:dyDescent="0.25">
      <c r="F409" s="2">
        <v>407</v>
      </c>
      <c r="G409" s="3">
        <f t="shared" si="24"/>
        <v>2.7992932853272782E-4</v>
      </c>
      <c r="H409" s="3">
        <f t="shared" si="25"/>
        <v>3.2902318709790282E-2</v>
      </c>
      <c r="I409" s="3">
        <f t="shared" si="26"/>
        <v>0.9668177519616743</v>
      </c>
      <c r="J409" s="3">
        <f t="shared" si="27"/>
        <v>3.3182248038325701E-2</v>
      </c>
    </row>
    <row r="410" spans="6:10" ht="15.75" customHeight="1" x14ac:dyDescent="0.25">
      <c r="F410" s="2">
        <v>408</v>
      </c>
      <c r="G410" s="3">
        <f t="shared" si="24"/>
        <v>2.7435873489492653E-4</v>
      </c>
      <c r="H410" s="3">
        <f t="shared" si="25"/>
        <v>3.2578838123397326E-2</v>
      </c>
      <c r="I410" s="3">
        <f t="shared" si="26"/>
        <v>0.96714680314170509</v>
      </c>
      <c r="J410" s="3">
        <f t="shared" si="27"/>
        <v>3.2853196858294909E-2</v>
      </c>
    </row>
    <row r="411" spans="6:10" ht="15.75" customHeight="1" x14ac:dyDescent="0.25">
      <c r="F411" s="2">
        <v>409</v>
      </c>
      <c r="G411" s="3">
        <f t="shared" si="24"/>
        <v>2.6889899607051746E-4</v>
      </c>
      <c r="H411" s="3">
        <f t="shared" si="25"/>
        <v>3.2258482045114271E-2</v>
      </c>
      <c r="I411" s="3">
        <f t="shared" si="26"/>
        <v>0.96747261895881254</v>
      </c>
      <c r="J411" s="3">
        <f t="shared" si="27"/>
        <v>3.2527381041187464E-2</v>
      </c>
    </row>
    <row r="412" spans="6:10" ht="15.75" customHeight="1" x14ac:dyDescent="0.25">
      <c r="F412" s="2">
        <v>410</v>
      </c>
      <c r="G412" s="3">
        <f t="shared" si="24"/>
        <v>2.6354790604871418E-4</v>
      </c>
      <c r="H412" s="3">
        <f t="shared" si="25"/>
        <v>3.1941221424785324E-2</v>
      </c>
      <c r="I412" s="3">
        <f t="shared" si="26"/>
        <v>0.96779523066916329</v>
      </c>
      <c r="J412" s="3">
        <f t="shared" si="27"/>
        <v>3.2204769330836713E-2</v>
      </c>
    </row>
    <row r="413" spans="6:10" ht="15.75" customHeight="1" x14ac:dyDescent="0.25">
      <c r="F413" s="2">
        <v>411</v>
      </c>
      <c r="G413" s="3">
        <f t="shared" si="24"/>
        <v>2.5830330271834479E-4</v>
      </c>
      <c r="H413" s="3">
        <f t="shared" si="25"/>
        <v>3.1627027459077237E-2</v>
      </c>
      <c r="I413" s="3">
        <f t="shared" si="26"/>
        <v>0.96811466923820177</v>
      </c>
      <c r="J413" s="3">
        <f t="shared" si="27"/>
        <v>3.1885330761798225E-2</v>
      </c>
    </row>
    <row r="414" spans="6:10" ht="15.75" customHeight="1" x14ac:dyDescent="0.25">
      <c r="F414" s="2">
        <v>412</v>
      </c>
      <c r="G414" s="3">
        <f t="shared" si="24"/>
        <v>2.5316306699424971E-4</v>
      </c>
      <c r="H414" s="3">
        <f t="shared" si="25"/>
        <v>3.1315871589880286E-2</v>
      </c>
      <c r="I414" s="3">
        <f t="shared" si="26"/>
        <v>0.96843096534312278</v>
      </c>
      <c r="J414" s="3">
        <f t="shared" si="27"/>
        <v>3.1569034656877215E-2</v>
      </c>
    </row>
    <row r="415" spans="6:10" ht="15.75" customHeight="1" x14ac:dyDescent="0.25">
      <c r="F415" s="2">
        <v>413</v>
      </c>
      <c r="G415" s="3">
        <f t="shared" si="24"/>
        <v>2.4812512196106411E-4</v>
      </c>
      <c r="H415" s="3">
        <f t="shared" si="25"/>
        <v>3.1007725502707969E-2</v>
      </c>
      <c r="I415" s="3">
        <f t="shared" si="26"/>
        <v>0.96874414937532827</v>
      </c>
      <c r="J415" s="3">
        <f t="shared" si="27"/>
        <v>3.1255850624671733E-2</v>
      </c>
    </row>
    <row r="416" spans="6:10" ht="15.75" customHeight="1" x14ac:dyDescent="0.25">
      <c r="F416" s="2">
        <v>414</v>
      </c>
      <c r="G416" s="3">
        <f t="shared" si="24"/>
        <v>2.4318743203403893E-4</v>
      </c>
      <c r="H416" s="3">
        <f t="shared" si="25"/>
        <v>3.0702561125095715E-2</v>
      </c>
      <c r="I416" s="3">
        <f t="shared" si="26"/>
        <v>0.9690542514428675</v>
      </c>
      <c r="J416" s="3">
        <f t="shared" si="27"/>
        <v>3.0945748557132502E-2</v>
      </c>
    </row>
    <row r="417" spans="6:10" ht="15.75" customHeight="1" x14ac:dyDescent="0.25">
      <c r="F417" s="2">
        <v>415</v>
      </c>
      <c r="G417" s="3">
        <f t="shared" si="24"/>
        <v>2.3834800213656156E-4</v>
      </c>
      <c r="H417" s="3">
        <f t="shared" si="25"/>
        <v>3.0400350624999031E-2</v>
      </c>
      <c r="I417" s="3">
        <f t="shared" si="26"/>
        <v>0.96936130137286169</v>
      </c>
      <c r="J417" s="3">
        <f t="shared" si="27"/>
        <v>3.0638698627138305E-2</v>
      </c>
    </row>
    <row r="418" spans="6:10" ht="15.75" customHeight="1" x14ac:dyDescent="0.25">
      <c r="F418" s="2">
        <v>416</v>
      </c>
      <c r="G418" s="3">
        <f t="shared" si="24"/>
        <v>2.3360487689404397E-4</v>
      </c>
      <c r="H418" s="3">
        <f t="shared" si="25"/>
        <v>3.0101066409191343E-2</v>
      </c>
      <c r="I418" s="3">
        <f t="shared" si="26"/>
        <v>0.96966532871391187</v>
      </c>
      <c r="J418" s="3">
        <f t="shared" si="27"/>
        <v>3.0334671286088133E-2</v>
      </c>
    </row>
    <row r="419" spans="6:10" ht="15.75" customHeight="1" x14ac:dyDescent="0.25">
      <c r="F419" s="2">
        <v>417</v>
      </c>
      <c r="G419" s="3">
        <f t="shared" si="24"/>
        <v>2.289561398438525E-4</v>
      </c>
      <c r="H419" s="3">
        <f t="shared" si="25"/>
        <v>2.980468112166193E-2</v>
      </c>
      <c r="I419" s="3">
        <f t="shared" si="26"/>
        <v>0.96996636273849146</v>
      </c>
      <c r="J419" s="3">
        <f t="shared" si="27"/>
        <v>3.0033637261508539E-2</v>
      </c>
    </row>
    <row r="420" spans="6:10" ht="15.75" customHeight="1" x14ac:dyDescent="0.25">
      <c r="F420" s="2">
        <v>418</v>
      </c>
      <c r="G420" s="3">
        <f t="shared" si="24"/>
        <v>2.2439991266095982E-4</v>
      </c>
      <c r="H420" s="3">
        <f t="shared" si="25"/>
        <v>2.9511167642014221E-2</v>
      </c>
      <c r="I420" s="3">
        <f t="shared" si="26"/>
        <v>0.97026443244532201</v>
      </c>
      <c r="J420" s="3">
        <f t="shared" si="27"/>
        <v>2.9735567554677989E-2</v>
      </c>
    </row>
    <row r="421" spans="6:10" ht="15.75" customHeight="1" x14ac:dyDescent="0.25">
      <c r="F421" s="2">
        <v>419</v>
      </c>
      <c r="G421" s="3">
        <f t="shared" si="24"/>
        <v>2.1993435439900672E-4</v>
      </c>
      <c r="H421" s="3">
        <f t="shared" si="25"/>
        <v>2.9220499083864766E-2</v>
      </c>
      <c r="I421" s="3">
        <f t="shared" si="26"/>
        <v>0.97055956656173337</v>
      </c>
      <c r="J421" s="3">
        <f t="shared" si="27"/>
        <v>2.9440433438266633E-2</v>
      </c>
    </row>
    <row r="422" spans="6:10" ht="15.75" customHeight="1" x14ac:dyDescent="0.25">
      <c r="F422" s="2">
        <v>420</v>
      </c>
      <c r="G422" s="3">
        <f t="shared" si="24"/>
        <v>2.1555766074646648E-4</v>
      </c>
      <c r="H422" s="3">
        <f t="shared" si="25"/>
        <v>2.8932648793243219E-2</v>
      </c>
      <c r="I422" s="3">
        <f t="shared" si="26"/>
        <v>0.97085179354600748</v>
      </c>
      <c r="J422" s="3">
        <f t="shared" si="27"/>
        <v>2.914820645399252E-2</v>
      </c>
    </row>
    <row r="423" spans="6:10" ht="15.75" customHeight="1" x14ac:dyDescent="0.25">
      <c r="F423" s="2">
        <v>421</v>
      </c>
      <c r="G423" s="3">
        <f t="shared" si="24"/>
        <v>2.1126806329761178E-4</v>
      </c>
      <c r="H423" s="3">
        <f t="shared" si="25"/>
        <v>2.8647590346993566E-2</v>
      </c>
      <c r="I423" s="3">
        <f t="shared" si="26"/>
        <v>0.97114114158970599</v>
      </c>
      <c r="J423" s="3">
        <f t="shared" si="27"/>
        <v>2.8858858410294008E-2</v>
      </c>
    </row>
    <row r="424" spans="6:10" ht="15.75" customHeight="1" x14ac:dyDescent="0.25">
      <c r="F424" s="2">
        <v>422</v>
      </c>
      <c r="G424" s="3">
        <f t="shared" si="24"/>
        <v>2.070638288379893E-4</v>
      </c>
      <c r="H424" s="3">
        <f t="shared" si="25"/>
        <v>2.8365297551176925E-2</v>
      </c>
      <c r="I424" s="3">
        <f t="shared" si="26"/>
        <v>0.97142763861998227</v>
      </c>
      <c r="J424" s="3">
        <f t="shared" si="27"/>
        <v>2.857236138001773E-2</v>
      </c>
    </row>
    <row r="425" spans="6:10" ht="15.75" customHeight="1" x14ac:dyDescent="0.25">
      <c r="F425" s="2">
        <v>423</v>
      </c>
      <c r="G425" s="3">
        <f t="shared" si="24"/>
        <v>2.0294325864411331E-4</v>
      </c>
      <c r="H425" s="3">
        <f t="shared" si="25"/>
        <v>2.8085744439476146E-2</v>
      </c>
      <c r="I425" s="3">
        <f t="shared" si="26"/>
        <v>0.97171131230187691</v>
      </c>
      <c r="J425" s="3">
        <f t="shared" si="27"/>
        <v>2.8288687698123094E-2</v>
      </c>
    </row>
    <row r="426" spans="6:10" ht="15.75" customHeight="1" x14ac:dyDescent="0.25">
      <c r="F426" s="2">
        <v>424</v>
      </c>
      <c r="G426" s="3">
        <f t="shared" si="24"/>
        <v>1.9890468779709545E-4</v>
      </c>
      <c r="H426" s="3">
        <f t="shared" si="25"/>
        <v>2.7808905271602537E-2</v>
      </c>
      <c r="I426" s="3">
        <f t="shared" si="26"/>
        <v>0.97199219004059756</v>
      </c>
      <c r="J426" s="3">
        <f t="shared" si="27"/>
        <v>2.8007809959402441E-2</v>
      </c>
    </row>
    <row r="427" spans="6:10" ht="15.75" customHeight="1" x14ac:dyDescent="0.25">
      <c r="F427" s="2">
        <v>425</v>
      </c>
      <c r="G427" s="3">
        <f t="shared" si="24"/>
        <v>1.9494648450993325E-4</v>
      </c>
      <c r="H427" s="3">
        <f t="shared" si="25"/>
        <v>2.7534754531704893E-2</v>
      </c>
      <c r="I427" s="3">
        <f t="shared" si="26"/>
        <v>0.97227029898378237</v>
      </c>
      <c r="J427" s="3">
        <f t="shared" si="27"/>
        <v>2.7729701016217634E-2</v>
      </c>
    </row>
    <row r="428" spans="6:10" ht="15.75" customHeight="1" x14ac:dyDescent="0.25">
      <c r="F428" s="2">
        <v>426</v>
      </c>
      <c r="G428" s="3">
        <f t="shared" si="24"/>
        <v>1.9106704946818558E-4</v>
      </c>
      <c r="H428" s="3">
        <f t="shared" si="25"/>
        <v>2.7263266926781139E-2</v>
      </c>
      <c r="I428" s="3">
        <f t="shared" si="26"/>
        <v>0.97254566602374781</v>
      </c>
      <c r="J428" s="3">
        <f t="shared" si="27"/>
        <v>2.7454333976252188E-2</v>
      </c>
    </row>
    <row r="429" spans="6:10" ht="15.75" customHeight="1" x14ac:dyDescent="0.25">
      <c r="F429" s="2">
        <v>427</v>
      </c>
      <c r="G429" s="3">
        <f t="shared" si="24"/>
        <v>1.8726481518376869E-4</v>
      </c>
      <c r="H429" s="3">
        <f t="shared" si="25"/>
        <v>2.6994417385092798E-2</v>
      </c>
      <c r="I429" s="3">
        <f t="shared" si="26"/>
        <v>0.97281831779972061</v>
      </c>
      <c r="J429" s="3">
        <f t="shared" si="27"/>
        <v>2.7181682200279389E-2</v>
      </c>
    </row>
    <row r="430" spans="6:10" ht="15.75" customHeight="1" x14ac:dyDescent="0.25">
      <c r="F430" s="2">
        <v>428</v>
      </c>
      <c r="G430" s="3">
        <f t="shared" si="24"/>
        <v>1.8353824536161169E-4</v>
      </c>
      <c r="H430" s="3">
        <f t="shared" si="25"/>
        <v>2.6728181054582509E-2</v>
      </c>
      <c r="I430" s="3">
        <f t="shared" si="26"/>
        <v>0.97308828070005304</v>
      </c>
      <c r="J430" s="3">
        <f t="shared" si="27"/>
        <v>2.6911719299946957E-2</v>
      </c>
    </row>
    <row r="431" spans="6:10" ht="15.75" customHeight="1" x14ac:dyDescent="0.25">
      <c r="F431" s="2">
        <v>429</v>
      </c>
      <c r="G431" s="3">
        <f t="shared" si="24"/>
        <v>1.7988583427891561E-4</v>
      </c>
      <c r="H431" s="3">
        <f t="shared" si="25"/>
        <v>2.6464533301294842E-2</v>
      </c>
      <c r="I431" s="3">
        <f t="shared" si="26"/>
        <v>0.97335558086442342</v>
      </c>
      <c r="J431" s="3">
        <f t="shared" si="27"/>
        <v>2.664441913557658E-2</v>
      </c>
    </row>
    <row r="432" spans="6:10" ht="15.75" customHeight="1" x14ac:dyDescent="0.25">
      <c r="F432" s="2">
        <v>430</v>
      </c>
      <c r="G432" s="3">
        <f t="shared" si="24"/>
        <v>1.7630610617676518E-4</v>
      </c>
      <c r="H432" s="3">
        <f t="shared" si="25"/>
        <v>2.6203449707800617E-2</v>
      </c>
      <c r="I432" s="3">
        <f t="shared" si="26"/>
        <v>0.97362024418601978</v>
      </c>
      <c r="J432" s="3">
        <f t="shared" si="27"/>
        <v>2.6379755813980221E-2</v>
      </c>
    </row>
    <row r="433" spans="6:10" ht="15.75" customHeight="1" x14ac:dyDescent="0.25">
      <c r="F433" s="2">
        <v>431</v>
      </c>
      <c r="G433" s="3">
        <f t="shared" si="24"/>
        <v>1.7279761466384755E-4</v>
      </c>
      <c r="H433" s="3">
        <f t="shared" si="25"/>
        <v>2.5944906071624911E-2</v>
      </c>
      <c r="I433" s="3">
        <f t="shared" si="26"/>
        <v>0.97388229631370837</v>
      </c>
      <c r="J433" s="3">
        <f t="shared" si="27"/>
        <v>2.6117703686291627E-2</v>
      </c>
    </row>
    <row r="434" spans="6:10" ht="15.75" customHeight="1" x14ac:dyDescent="0.25">
      <c r="F434" s="2">
        <v>432</v>
      </c>
      <c r="G434" s="3">
        <f t="shared" si="24"/>
        <v>1.6935894213203698E-4</v>
      </c>
      <c r="H434" s="3">
        <f t="shared" si="25"/>
        <v>2.5688878403679005E-2</v>
      </c>
      <c r="I434" s="3">
        <f t="shared" si="26"/>
        <v>0.97414176265418606</v>
      </c>
      <c r="J434" s="3">
        <f t="shared" si="27"/>
        <v>2.5858237345813939E-2</v>
      </c>
    </row>
    <row r="435" spans="6:10" ht="15.75" customHeight="1" x14ac:dyDescent="0.25">
      <c r="F435" s="2">
        <v>433</v>
      </c>
      <c r="G435" s="3">
        <f t="shared" si="24"/>
        <v>1.6598869918360944E-4</v>
      </c>
      <c r="H435" s="3">
        <f t="shared" si="25"/>
        <v>2.5435342926696428E-2</v>
      </c>
      <c r="I435" s="3">
        <f t="shared" si="26"/>
        <v>0.97439866837411704</v>
      </c>
      <c r="J435" s="3">
        <f t="shared" si="27"/>
        <v>2.5601331625882962E-2</v>
      </c>
    </row>
    <row r="436" spans="6:10" ht="15.75" customHeight="1" x14ac:dyDescent="0.25">
      <c r="F436" s="2">
        <v>434</v>
      </c>
      <c r="G436" s="3">
        <f t="shared" si="24"/>
        <v>1.6268552406985561E-4</v>
      </c>
      <c r="H436" s="3">
        <f t="shared" si="25"/>
        <v>2.5184276073673299E-2</v>
      </c>
      <c r="I436" s="3">
        <f t="shared" si="26"/>
        <v>0.97465303840225392</v>
      </c>
      <c r="J436" s="3">
        <f t="shared" si="27"/>
        <v>2.5346961597746076E-2</v>
      </c>
    </row>
    <row r="437" spans="6:10" ht="15.75" customHeight="1" x14ac:dyDescent="0.25">
      <c r="F437" s="2">
        <v>435</v>
      </c>
      <c r="G437" s="3">
        <f t="shared" si="24"/>
        <v>1.5944808214086548E-4</v>
      </c>
      <c r="H437" s="3">
        <f t="shared" si="25"/>
        <v>2.4935654486313148E-2</v>
      </c>
      <c r="I437" s="3">
        <f t="shared" si="26"/>
        <v>0.97490489743154307</v>
      </c>
      <c r="J437" s="3">
        <f t="shared" si="27"/>
        <v>2.5095102568456928E-2</v>
      </c>
    </row>
    <row r="438" spans="6:10" ht="15.75" customHeight="1" x14ac:dyDescent="0.25">
      <c r="F438" s="2">
        <v>436</v>
      </c>
      <c r="G438" s="3">
        <f t="shared" si="24"/>
        <v>1.5627506530626226E-4</v>
      </c>
      <c r="H438" s="3">
        <f t="shared" si="25"/>
        <v>2.4689455013476403E-2</v>
      </c>
      <c r="I438" s="3">
        <f t="shared" si="26"/>
        <v>0.97515426992121446</v>
      </c>
      <c r="J438" s="3">
        <f t="shared" si="27"/>
        <v>2.4845730078785544E-2</v>
      </c>
    </row>
    <row r="439" spans="6:10" ht="15.75" customHeight="1" x14ac:dyDescent="0.25">
      <c r="F439" s="2">
        <v>437</v>
      </c>
      <c r="G439" s="3">
        <f t="shared" si="24"/>
        <v>1.5316519150666765E-4</v>
      </c>
      <c r="H439" s="3">
        <f t="shared" si="25"/>
        <v>2.4445654709634702E-2</v>
      </c>
      <c r="I439" s="3">
        <f t="shared" si="26"/>
        <v>0.97540118009885579</v>
      </c>
      <c r="J439" s="3">
        <f t="shared" si="27"/>
        <v>2.4598819901144209E-2</v>
      </c>
    </row>
    <row r="440" spans="6:10" ht="15.75" customHeight="1" x14ac:dyDescent="0.25">
      <c r="F440" s="2">
        <v>438</v>
      </c>
      <c r="G440" s="3">
        <f t="shared" si="24"/>
        <v>1.5011720419568495E-4</v>
      </c>
      <c r="H440" s="3">
        <f t="shared" si="25"/>
        <v>2.4204230833330186E-2</v>
      </c>
      <c r="I440" s="3">
        <f t="shared" si="26"/>
        <v>0.97564565196247133</v>
      </c>
      <c r="J440" s="3">
        <f t="shared" si="27"/>
        <v>2.4354348037528672E-2</v>
      </c>
    </row>
    <row r="441" spans="6:10" ht="15.75" customHeight="1" x14ac:dyDescent="0.25">
      <c r="F441" s="2">
        <v>439</v>
      </c>
      <c r="G441" s="3">
        <f t="shared" si="24"/>
        <v>1.4712987183219083E-4</v>
      </c>
      <c r="H441" s="3">
        <f t="shared" si="25"/>
        <v>2.396516084563996E-2</v>
      </c>
      <c r="I441" s="3">
        <f t="shared" si="26"/>
        <v>0.975887709282525</v>
      </c>
      <c r="J441" s="3">
        <f t="shared" si="27"/>
        <v>2.4112290717475005E-2</v>
      </c>
    </row>
    <row r="442" spans="6:10" ht="15.75" customHeight="1" x14ac:dyDescent="0.25">
      <c r="F442" s="2">
        <v>440</v>
      </c>
      <c r="G442" s="3">
        <f t="shared" si="24"/>
        <v>1.4420198738273024E-4</v>
      </c>
      <c r="H442" s="3">
        <f t="shared" si="25"/>
        <v>2.3728422408645838E-2</v>
      </c>
      <c r="I442" s="3">
        <f t="shared" si="26"/>
        <v>0.97612737560396856</v>
      </c>
      <c r="J442" s="3">
        <f t="shared" si="27"/>
        <v>2.3872624396031439E-2</v>
      </c>
    </row>
    <row r="443" spans="6:10" ht="15.75" customHeight="1" x14ac:dyDescent="0.25">
      <c r="F443" s="2">
        <v>441</v>
      </c>
      <c r="G443" s="3">
        <f t="shared" si="24"/>
        <v>1.413323678338139E-4</v>
      </c>
      <c r="H443" s="3">
        <f t="shared" si="25"/>
        <v>2.3493993383909558E-2</v>
      </c>
      <c r="I443" s="3">
        <f t="shared" si="26"/>
        <v>0.97636467424825379</v>
      </c>
      <c r="J443" s="3">
        <f t="shared" si="27"/>
        <v>2.3635325751746206E-2</v>
      </c>
    </row>
    <row r="444" spans="6:10" ht="15.75" customHeight="1" x14ac:dyDescent="0.25">
      <c r="F444" s="2">
        <v>442</v>
      </c>
      <c r="G444" s="3">
        <f t="shared" si="24"/>
        <v>1.3851985371392099E-4</v>
      </c>
      <c r="H444" s="3">
        <f t="shared" si="25"/>
        <v>2.326185183095357E-2</v>
      </c>
      <c r="I444" s="3">
        <f t="shared" si="26"/>
        <v>0.97659962831532965</v>
      </c>
      <c r="J444" s="3">
        <f t="shared" si="27"/>
        <v>2.3400371684670351E-2</v>
      </c>
    </row>
    <row r="445" spans="6:10" ht="15.75" customHeight="1" x14ac:dyDescent="0.25">
      <c r="F445" s="2">
        <v>443</v>
      </c>
      <c r="G445" s="3">
        <f t="shared" si="24"/>
        <v>1.3576330862501395E-4</v>
      </c>
      <c r="H445" s="3">
        <f t="shared" si="25"/>
        <v>2.3031976005747572E-2</v>
      </c>
      <c r="I445" s="3">
        <f t="shared" si="26"/>
        <v>0.97683226068562456</v>
      </c>
      <c r="J445" s="3">
        <f t="shared" si="27"/>
        <v>2.3167739314375435E-2</v>
      </c>
    </row>
    <row r="446" spans="6:10" ht="15.75" customHeight="1" x14ac:dyDescent="0.25">
      <c r="F446" s="2">
        <v>444</v>
      </c>
      <c r="G446" s="3">
        <f t="shared" si="24"/>
        <v>1.3306161878337617E-4</v>
      </c>
      <c r="H446" s="3">
        <f t="shared" si="25"/>
        <v>2.2804344359200871E-2</v>
      </c>
      <c r="I446" s="3">
        <f t="shared" si="26"/>
        <v>0.9770625940220129</v>
      </c>
      <c r="J446" s="3">
        <f t="shared" si="27"/>
        <v>2.2937405977987102E-2</v>
      </c>
    </row>
    <row r="447" spans="6:10" ht="15.75" customHeight="1" x14ac:dyDescent="0.25">
      <c r="F447" s="2">
        <v>445</v>
      </c>
      <c r="G447" s="3">
        <f t="shared" si="24"/>
        <v>1.3041369256958698E-4</v>
      </c>
      <c r="H447" s="3">
        <f t="shared" si="25"/>
        <v>2.2578935535660774E-2</v>
      </c>
      <c r="I447" s="3">
        <f t="shared" si="26"/>
        <v>0.9772906507717668</v>
      </c>
      <c r="J447" s="3">
        <f t="shared" si="27"/>
        <v>2.27093492282332E-2</v>
      </c>
    </row>
    <row r="448" spans="6:10" ht="15.75" customHeight="1" x14ac:dyDescent="0.25">
      <c r="F448" s="2">
        <v>446</v>
      </c>
      <c r="G448" s="3">
        <f t="shared" si="24"/>
        <v>1.2781846008745219E-4</v>
      </c>
      <c r="H448" s="3">
        <f t="shared" si="25"/>
        <v>2.2355728371417041E-2</v>
      </c>
      <c r="I448" s="3">
        <f t="shared" si="26"/>
        <v>0.97751645316849267</v>
      </c>
      <c r="J448" s="3">
        <f t="shared" si="27"/>
        <v>2.2483546831507328E-2</v>
      </c>
    </row>
    <row r="449" spans="6:10" ht="15.75" customHeight="1" x14ac:dyDescent="0.25">
      <c r="F449" s="2">
        <v>447</v>
      </c>
      <c r="G449" s="3">
        <f t="shared" si="24"/>
        <v>1.2527487273171188E-4</v>
      </c>
      <c r="H449" s="3">
        <f t="shared" si="25"/>
        <v>2.2134701893212604E-2</v>
      </c>
      <c r="I449" s="3">
        <f t="shared" si="26"/>
        <v>0.97774002323405285</v>
      </c>
      <c r="J449" s="3">
        <f t="shared" si="27"/>
        <v>2.2259976765947154E-2</v>
      </c>
    </row>
    <row r="450" spans="6:10" ht="15.75" customHeight="1" x14ac:dyDescent="0.25">
      <c r="F450" s="2">
        <v>448</v>
      </c>
      <c r="G450" s="3">
        <f t="shared" si="24"/>
        <v>1.2278190276435083E-4</v>
      </c>
      <c r="H450" s="3">
        <f t="shared" si="25"/>
        <v>2.1915835316760564E-2</v>
      </c>
      <c r="I450" s="3">
        <f t="shared" si="26"/>
        <v>0.97796138278047229</v>
      </c>
      <c r="J450" s="3">
        <f t="shared" si="27"/>
        <v>2.2038617219527712E-2</v>
      </c>
    </row>
    <row r="451" spans="6:10" ht="15.75" customHeight="1" x14ac:dyDescent="0.25">
      <c r="F451" s="2">
        <v>449</v>
      </c>
      <c r="G451" s="3">
        <f t="shared" ref="G451:G460" si="28">(G450*$B$5)+(H450*$B$6)+(I450*$B$7)</f>
        <v>1.2033854289934024E-4</v>
      </c>
      <c r="H451" s="3">
        <f t="shared" ref="H451:H460" si="29">(G450*$C$5)+(H450*$C$6)+(I450*$C$7)</f>
        <v>2.1699108045267691E-2</v>
      </c>
      <c r="I451" s="3">
        <f t="shared" ref="I451:I460" si="30">(G450*$D$5)+(H450*$D$6)+(I450*$D$7)</f>
        <v>0.97818055341183019</v>
      </c>
      <c r="J451" s="3">
        <f t="shared" ref="J451:J460" si="31">1-I451</f>
        <v>2.1819446588169811E-2</v>
      </c>
    </row>
    <row r="452" spans="6:10" ht="15.75" customHeight="1" x14ac:dyDescent="0.25">
      <c r="F452" s="2">
        <v>450</v>
      </c>
      <c r="G452" s="3">
        <f t="shared" si="28"/>
        <v>1.1794380589564337E-4</v>
      </c>
      <c r="H452" s="3">
        <f t="shared" si="29"/>
        <v>2.1484499667964421E-2</v>
      </c>
      <c r="I452" s="3">
        <f t="shared" si="30"/>
        <v>0.97839755652613714</v>
      </c>
      <c r="J452" s="3">
        <f t="shared" si="31"/>
        <v>2.1602443473862865E-2</v>
      </c>
    </row>
    <row r="453" spans="6:10" ht="15.75" customHeight="1" x14ac:dyDescent="0.25">
      <c r="F453" s="2">
        <v>451</v>
      </c>
      <c r="G453" s="3">
        <f t="shared" si="28"/>
        <v>1.1559672415832007E-4</v>
      </c>
      <c r="H453" s="3">
        <f t="shared" si="29"/>
        <v>2.1271989958641511E-2</v>
      </c>
      <c r="I453" s="3">
        <f t="shared" si="30"/>
        <v>0.97861241331719739</v>
      </c>
      <c r="J453" s="3">
        <f t="shared" si="31"/>
        <v>2.1387586682802606E-2</v>
      </c>
    </row>
    <row r="454" spans="6:10" ht="15.75" customHeight="1" x14ac:dyDescent="0.25">
      <c r="F454" s="2">
        <v>452</v>
      </c>
      <c r="G454" s="3">
        <f t="shared" si="28"/>
        <v>1.132963493475695E-4</v>
      </c>
      <c r="H454" s="3">
        <f t="shared" si="29"/>
        <v>2.1061558874193431E-2</v>
      </c>
      <c r="I454" s="3">
        <f t="shared" si="30"/>
        <v>0.97882514477645621</v>
      </c>
      <c r="J454" s="3">
        <f t="shared" si="31"/>
        <v>2.1174855223543787E-2</v>
      </c>
    </row>
    <row r="455" spans="6:10" ht="15.75" customHeight="1" x14ac:dyDescent="0.25">
      <c r="F455" s="2">
        <v>453</v>
      </c>
      <c r="G455" s="3">
        <f t="shared" si="28"/>
        <v>1.1104175199555286E-4</v>
      </c>
      <c r="H455" s="3">
        <f t="shared" si="29"/>
        <v>2.085318655316858E-2</v>
      </c>
      <c r="I455" s="3">
        <f t="shared" si="30"/>
        <v>0.97903577169483313</v>
      </c>
      <c r="J455" s="3">
        <f t="shared" si="31"/>
        <v>2.0964228305166865E-2</v>
      </c>
    </row>
    <row r="456" spans="6:10" ht="15.75" customHeight="1" x14ac:dyDescent="0.25">
      <c r="F456" s="2">
        <v>454</v>
      </c>
      <c r="G456" s="3">
        <f t="shared" si="28"/>
        <v>1.0883202113084136E-4</v>
      </c>
      <c r="H456" s="3">
        <f t="shared" si="29"/>
        <v>2.0646853314326405E-2</v>
      </c>
      <c r="I456" s="3">
        <f t="shared" si="30"/>
        <v>0.97924431466453998</v>
      </c>
      <c r="J456" s="3">
        <f t="shared" si="31"/>
        <v>2.0755685335460017E-2</v>
      </c>
    </row>
    <row r="457" spans="6:10" ht="15.75" customHeight="1" x14ac:dyDescent="0.25">
      <c r="F457" s="2">
        <v>455</v>
      </c>
      <c r="G457" s="3">
        <f t="shared" si="28"/>
        <v>1.0666626391033761E-4</v>
      </c>
      <c r="H457" s="3">
        <f t="shared" si="29"/>
        <v>2.0442539655201531E-2</v>
      </c>
      <c r="I457" s="3">
        <f t="shared" si="30"/>
        <v>0.97945079408088531</v>
      </c>
      <c r="J457" s="3">
        <f t="shared" si="31"/>
        <v>2.0549205919114688E-2</v>
      </c>
    </row>
    <row r="458" spans="6:10" ht="15.75" customHeight="1" x14ac:dyDescent="0.25">
      <c r="F458" s="2">
        <v>456</v>
      </c>
      <c r="G458" s="3">
        <f t="shared" si="28"/>
        <v>1.0454360525852188E-4</v>
      </c>
      <c r="H458" s="3">
        <f t="shared" si="29"/>
        <v>2.0240226250674943E-2</v>
      </c>
      <c r="I458" s="3">
        <f t="shared" si="30"/>
        <v>0.97965523014406375</v>
      </c>
      <c r="J458" s="3">
        <f t="shared" si="31"/>
        <v>2.0344769855936251E-2</v>
      </c>
    </row>
    <row r="459" spans="6:10" ht="15.75" customHeight="1" x14ac:dyDescent="0.25">
      <c r="F459" s="2">
        <v>457</v>
      </c>
      <c r="G459" s="3">
        <f t="shared" si="28"/>
        <v>1.0246318751387729E-4</v>
      </c>
      <c r="H459" s="3">
        <f t="shared" si="29"/>
        <v>2.0039893951552312E-2</v>
      </c>
      <c r="I459" s="3">
        <f t="shared" si="30"/>
        <v>0.97985764286093102</v>
      </c>
      <c r="J459" s="3">
        <f t="shared" si="31"/>
        <v>2.0142357139068978E-2</v>
      </c>
    </row>
    <row r="460" spans="6:10" ht="15.75" customHeight="1" x14ac:dyDescent="0.25">
      <c r="F460" s="2">
        <v>458</v>
      </c>
      <c r="G460" s="3">
        <f t="shared" si="28"/>
        <v>1.0042417008235113E-4</v>
      </c>
      <c r="H460" s="3">
        <f t="shared" si="29"/>
        <v>1.9841523783149566E-2</v>
      </c>
      <c r="I460" s="3">
        <f t="shared" si="30"/>
        <v>0.98005805204676533</v>
      </c>
      <c r="J460" s="3">
        <f t="shared" si="31"/>
        <v>1.9941947953234673E-2</v>
      </c>
    </row>
    <row r="461" spans="6:10" ht="15.75" customHeight="1" x14ac:dyDescent="0.25">
      <c r="G461" s="5"/>
      <c r="H461" s="5"/>
      <c r="I461" s="5"/>
      <c r="J461" s="5"/>
    </row>
    <row r="462" spans="6:10" ht="15.75" customHeight="1" x14ac:dyDescent="0.25">
      <c r="G462" s="5"/>
      <c r="H462" s="5"/>
      <c r="I462" s="5"/>
      <c r="J462" s="5"/>
    </row>
    <row r="463" spans="6:10" ht="15.75" customHeight="1" x14ac:dyDescent="0.25">
      <c r="G463" s="5"/>
      <c r="H463" s="5"/>
      <c r="I463" s="5"/>
      <c r="J463" s="5"/>
    </row>
    <row r="464" spans="6:10" ht="15.75" customHeight="1" x14ac:dyDescent="0.25">
      <c r="G464" s="5"/>
      <c r="H464" s="5"/>
      <c r="I464" s="5"/>
      <c r="J464" s="5"/>
    </row>
    <row r="465" spans="7:10" ht="15.75" customHeight="1" x14ac:dyDescent="0.25">
      <c r="G465" s="5"/>
      <c r="H465" s="5"/>
      <c r="I465" s="5"/>
      <c r="J465" s="5"/>
    </row>
    <row r="466" spans="7:10" ht="15.75" customHeight="1" x14ac:dyDescent="0.25">
      <c r="G466" s="5"/>
      <c r="H466" s="5"/>
      <c r="I466" s="5"/>
      <c r="J466" s="5"/>
    </row>
    <row r="467" spans="7:10" ht="15.75" customHeight="1" x14ac:dyDescent="0.25">
      <c r="G467" s="5"/>
      <c r="H467" s="5"/>
      <c r="I467" s="5"/>
      <c r="J467" s="5"/>
    </row>
    <row r="468" spans="7:10" ht="15.75" customHeight="1" x14ac:dyDescent="0.25">
      <c r="G468" s="5"/>
      <c r="H468" s="5"/>
      <c r="I468" s="5"/>
      <c r="J468" s="5"/>
    </row>
    <row r="469" spans="7:10" ht="15.75" customHeight="1" x14ac:dyDescent="0.25">
      <c r="G469" s="5"/>
      <c r="H469" s="5"/>
      <c r="I469" s="5"/>
      <c r="J469" s="5"/>
    </row>
    <row r="470" spans="7:10" ht="15.75" customHeight="1" x14ac:dyDescent="0.25">
      <c r="G470" s="5"/>
      <c r="H470" s="5"/>
      <c r="I470" s="5"/>
      <c r="J470" s="5"/>
    </row>
    <row r="471" spans="7:10" ht="15.75" customHeight="1" x14ac:dyDescent="0.25">
      <c r="G471" s="5"/>
      <c r="H471" s="5"/>
      <c r="I471" s="5"/>
      <c r="J471" s="5"/>
    </row>
    <row r="472" spans="7:10" ht="15.75" customHeight="1" x14ac:dyDescent="0.25">
      <c r="G472" s="5"/>
      <c r="H472" s="5"/>
      <c r="I472" s="5"/>
      <c r="J472" s="5"/>
    </row>
    <row r="473" spans="7:10" ht="15.75" customHeight="1" x14ac:dyDescent="0.25">
      <c r="G473" s="5"/>
      <c r="H473" s="5"/>
      <c r="I473" s="5"/>
      <c r="J473" s="5"/>
    </row>
    <row r="474" spans="7:10" ht="15.75" customHeight="1" x14ac:dyDescent="0.25">
      <c r="G474" s="5"/>
      <c r="H474" s="5"/>
      <c r="I474" s="5"/>
      <c r="J474" s="5"/>
    </row>
    <row r="475" spans="7:10" ht="15.75" customHeight="1" x14ac:dyDescent="0.25">
      <c r="G475" s="5"/>
      <c r="H475" s="5"/>
      <c r="I475" s="5"/>
      <c r="J475" s="5"/>
    </row>
    <row r="476" spans="7:10" ht="15.75" customHeight="1" x14ac:dyDescent="0.25">
      <c r="G476" s="5"/>
      <c r="H476" s="5"/>
      <c r="I476" s="5"/>
      <c r="J476" s="5"/>
    </row>
    <row r="477" spans="7:10" ht="15.75" customHeight="1" x14ac:dyDescent="0.25">
      <c r="G477" s="5"/>
      <c r="H477" s="5"/>
      <c r="I477" s="5"/>
      <c r="J477" s="5"/>
    </row>
    <row r="478" spans="7:10" ht="15.75" customHeight="1" x14ac:dyDescent="0.25">
      <c r="G478" s="5"/>
      <c r="H478" s="5"/>
      <c r="I478" s="5"/>
      <c r="J478" s="5"/>
    </row>
    <row r="479" spans="7:10" ht="15.75" customHeight="1" x14ac:dyDescent="0.25">
      <c r="G479" s="5"/>
      <c r="H479" s="5"/>
      <c r="I479" s="5"/>
      <c r="J479" s="5"/>
    </row>
    <row r="480" spans="7:10" ht="15.75" customHeight="1" x14ac:dyDescent="0.25">
      <c r="G480" s="5"/>
      <c r="H480" s="5"/>
      <c r="I480" s="5"/>
      <c r="J480" s="5"/>
    </row>
    <row r="481" spans="7:10" ht="15.75" customHeight="1" x14ac:dyDescent="0.25">
      <c r="G481" s="5"/>
      <c r="H481" s="5"/>
      <c r="I481" s="5"/>
      <c r="J481" s="5"/>
    </row>
    <row r="482" spans="7:10" ht="15.75" customHeight="1" x14ac:dyDescent="0.25">
      <c r="G482" s="5"/>
      <c r="H482" s="5"/>
      <c r="I482" s="5"/>
      <c r="J482" s="5"/>
    </row>
    <row r="483" spans="7:10" ht="15.75" customHeight="1" x14ac:dyDescent="0.25">
      <c r="G483" s="5"/>
      <c r="H483" s="5"/>
      <c r="I483" s="5"/>
      <c r="J483" s="5"/>
    </row>
    <row r="484" spans="7:10" ht="15.75" customHeight="1" x14ac:dyDescent="0.25">
      <c r="G484" s="5"/>
      <c r="H484" s="5"/>
      <c r="I484" s="5"/>
      <c r="J484" s="5"/>
    </row>
    <row r="485" spans="7:10" ht="15.75" customHeight="1" x14ac:dyDescent="0.25">
      <c r="G485" s="5"/>
      <c r="H485" s="5"/>
      <c r="I485" s="5"/>
      <c r="J485" s="5"/>
    </row>
    <row r="486" spans="7:10" ht="15.75" customHeight="1" x14ac:dyDescent="0.25">
      <c r="G486" s="5"/>
      <c r="H486" s="5"/>
      <c r="I486" s="5"/>
      <c r="J486" s="5"/>
    </row>
    <row r="487" spans="7:10" ht="15.75" customHeight="1" x14ac:dyDescent="0.25">
      <c r="G487" s="5"/>
      <c r="H487" s="5"/>
      <c r="I487" s="5"/>
      <c r="J487" s="5"/>
    </row>
    <row r="488" spans="7:10" ht="15.75" customHeight="1" x14ac:dyDescent="0.25">
      <c r="G488" s="5"/>
      <c r="H488" s="5"/>
      <c r="I488" s="5"/>
      <c r="J488" s="5"/>
    </row>
    <row r="489" spans="7:10" ht="15.75" customHeight="1" x14ac:dyDescent="0.25">
      <c r="G489" s="5"/>
      <c r="H489" s="5"/>
      <c r="I489" s="5"/>
      <c r="J489" s="5"/>
    </row>
    <row r="490" spans="7:10" ht="15.75" customHeight="1" x14ac:dyDescent="0.25">
      <c r="G490" s="5"/>
      <c r="H490" s="5"/>
      <c r="I490" s="5"/>
      <c r="J490" s="5"/>
    </row>
    <row r="491" spans="7:10" ht="15.75" customHeight="1" x14ac:dyDescent="0.25">
      <c r="G491" s="5"/>
      <c r="H491" s="5"/>
      <c r="I491" s="5"/>
      <c r="J491" s="5"/>
    </row>
    <row r="492" spans="7:10" ht="15.75" customHeight="1" x14ac:dyDescent="0.25">
      <c r="G492" s="5"/>
      <c r="H492" s="5"/>
      <c r="I492" s="5"/>
      <c r="J492" s="5"/>
    </row>
    <row r="493" spans="7:10" ht="15.75" customHeight="1" x14ac:dyDescent="0.25">
      <c r="G493" s="5"/>
      <c r="H493" s="5"/>
      <c r="I493" s="5"/>
      <c r="J493" s="5"/>
    </row>
    <row r="494" spans="7:10" ht="15.75" customHeight="1" x14ac:dyDescent="0.25">
      <c r="G494" s="5"/>
      <c r="H494" s="5"/>
      <c r="I494" s="5"/>
      <c r="J494" s="5"/>
    </row>
    <row r="495" spans="7:10" ht="15.75" customHeight="1" x14ac:dyDescent="0.25">
      <c r="G495" s="5"/>
      <c r="H495" s="5"/>
      <c r="I495" s="5"/>
      <c r="J495" s="5"/>
    </row>
    <row r="496" spans="7:10" ht="15.75" customHeight="1" x14ac:dyDescent="0.25">
      <c r="G496" s="5"/>
      <c r="H496" s="5"/>
      <c r="I496" s="5"/>
      <c r="J496" s="5"/>
    </row>
    <row r="497" spans="7:10" ht="15.75" customHeight="1" x14ac:dyDescent="0.25">
      <c r="G497" s="5"/>
      <c r="H497" s="5"/>
      <c r="I497" s="5"/>
      <c r="J497" s="5"/>
    </row>
    <row r="498" spans="7:10" ht="15.75" customHeight="1" x14ac:dyDescent="0.25">
      <c r="G498" s="5"/>
      <c r="H498" s="5"/>
      <c r="I498" s="5"/>
      <c r="J498" s="5"/>
    </row>
    <row r="499" spans="7:10" ht="15.75" customHeight="1" x14ac:dyDescent="0.25">
      <c r="G499" s="5"/>
      <c r="H499" s="5"/>
      <c r="I499" s="5"/>
      <c r="J499" s="5"/>
    </row>
    <row r="500" spans="7:10" ht="15.75" customHeight="1" x14ac:dyDescent="0.25">
      <c r="G500" s="5"/>
      <c r="H500" s="5"/>
      <c r="I500" s="5"/>
      <c r="J500" s="5"/>
    </row>
    <row r="501" spans="7:10" ht="15.75" customHeight="1" x14ac:dyDescent="0.25">
      <c r="G501" s="5"/>
      <c r="H501" s="5"/>
      <c r="I501" s="5"/>
      <c r="J501" s="5"/>
    </row>
    <row r="502" spans="7:10" ht="15.75" customHeight="1" x14ac:dyDescent="0.25">
      <c r="G502" s="5"/>
      <c r="H502" s="5"/>
      <c r="I502" s="5"/>
      <c r="J502" s="5"/>
    </row>
    <row r="503" spans="7:10" ht="15.75" customHeight="1" x14ac:dyDescent="0.25">
      <c r="G503" s="5"/>
      <c r="H503" s="5"/>
      <c r="I503" s="5"/>
      <c r="J503" s="5"/>
    </row>
    <row r="504" spans="7:10" ht="15.75" customHeight="1" x14ac:dyDescent="0.25">
      <c r="G504" s="5"/>
      <c r="H504" s="5"/>
      <c r="I504" s="5"/>
      <c r="J504" s="5"/>
    </row>
    <row r="505" spans="7:10" ht="15.75" customHeight="1" x14ac:dyDescent="0.25">
      <c r="G505" s="5"/>
      <c r="H505" s="5"/>
      <c r="I505" s="5"/>
      <c r="J505" s="5"/>
    </row>
    <row r="506" spans="7:10" ht="15.75" customHeight="1" x14ac:dyDescent="0.25">
      <c r="G506" s="5"/>
      <c r="H506" s="5"/>
      <c r="I506" s="5"/>
      <c r="J506" s="5"/>
    </row>
    <row r="507" spans="7:10" ht="15.75" customHeight="1" x14ac:dyDescent="0.25">
      <c r="G507" s="5"/>
      <c r="H507" s="5"/>
      <c r="I507" s="5"/>
      <c r="J507" s="5"/>
    </row>
    <row r="508" spans="7:10" ht="15.75" customHeight="1" x14ac:dyDescent="0.25">
      <c r="G508" s="5"/>
      <c r="H508" s="5"/>
      <c r="I508" s="5"/>
      <c r="J508" s="5"/>
    </row>
    <row r="509" spans="7:10" ht="15.75" customHeight="1" x14ac:dyDescent="0.25">
      <c r="G509" s="5"/>
      <c r="H509" s="5"/>
      <c r="I509" s="5"/>
      <c r="J509" s="5"/>
    </row>
    <row r="510" spans="7:10" ht="15.75" customHeight="1" x14ac:dyDescent="0.25">
      <c r="G510" s="5"/>
      <c r="H510" s="5"/>
      <c r="I510" s="5"/>
      <c r="J510" s="5"/>
    </row>
    <row r="511" spans="7:10" ht="15.75" customHeight="1" x14ac:dyDescent="0.25">
      <c r="G511" s="5"/>
      <c r="H511" s="5"/>
      <c r="I511" s="5"/>
      <c r="J511" s="5"/>
    </row>
    <row r="512" spans="7:10" ht="15.75" customHeight="1" x14ac:dyDescent="0.25">
      <c r="G512" s="5"/>
      <c r="H512" s="5"/>
      <c r="I512" s="5"/>
      <c r="J512" s="5"/>
    </row>
    <row r="513" spans="7:10" ht="15.75" customHeight="1" x14ac:dyDescent="0.25">
      <c r="G513" s="5"/>
      <c r="H513" s="5"/>
      <c r="I513" s="5"/>
      <c r="J513" s="5"/>
    </row>
    <row r="514" spans="7:10" ht="15.75" customHeight="1" x14ac:dyDescent="0.25">
      <c r="G514" s="5"/>
      <c r="H514" s="5"/>
      <c r="I514" s="5"/>
      <c r="J514" s="5"/>
    </row>
    <row r="515" spans="7:10" ht="15.75" customHeight="1" x14ac:dyDescent="0.25">
      <c r="G515" s="5"/>
      <c r="H515" s="5"/>
      <c r="I515" s="5"/>
      <c r="J515" s="5"/>
    </row>
    <row r="516" spans="7:10" ht="15.75" customHeight="1" x14ac:dyDescent="0.25">
      <c r="G516" s="5"/>
      <c r="H516" s="5"/>
      <c r="I516" s="5"/>
      <c r="J516" s="5"/>
    </row>
    <row r="517" spans="7:10" ht="15.75" customHeight="1" x14ac:dyDescent="0.25">
      <c r="G517" s="5"/>
      <c r="H517" s="5"/>
      <c r="I517" s="5"/>
      <c r="J517" s="5"/>
    </row>
    <row r="518" spans="7:10" ht="15.75" customHeight="1" x14ac:dyDescent="0.25">
      <c r="G518" s="5"/>
      <c r="H518" s="5"/>
      <c r="I518" s="5"/>
      <c r="J518" s="5"/>
    </row>
    <row r="519" spans="7:10" ht="15.75" customHeight="1" x14ac:dyDescent="0.25">
      <c r="G519" s="5"/>
      <c r="H519" s="5"/>
      <c r="I519" s="5"/>
      <c r="J519" s="5"/>
    </row>
    <row r="520" spans="7:10" ht="15.75" customHeight="1" x14ac:dyDescent="0.25">
      <c r="G520" s="5"/>
      <c r="H520" s="5"/>
      <c r="I520" s="5"/>
      <c r="J520" s="5"/>
    </row>
    <row r="521" spans="7:10" ht="15.75" customHeight="1" x14ac:dyDescent="0.25">
      <c r="G521" s="5"/>
      <c r="H521" s="5"/>
      <c r="I521" s="5"/>
      <c r="J521" s="5"/>
    </row>
    <row r="522" spans="7:10" ht="15.75" customHeight="1" x14ac:dyDescent="0.25">
      <c r="G522" s="5"/>
      <c r="H522" s="5"/>
      <c r="I522" s="5"/>
      <c r="J522" s="5"/>
    </row>
    <row r="523" spans="7:10" ht="15.75" customHeight="1" x14ac:dyDescent="0.25">
      <c r="G523" s="5"/>
      <c r="H523" s="5"/>
      <c r="I523" s="5"/>
      <c r="J523" s="5"/>
    </row>
    <row r="524" spans="7:10" ht="15.75" customHeight="1" x14ac:dyDescent="0.25">
      <c r="G524" s="5"/>
      <c r="H524" s="5"/>
      <c r="I524" s="5"/>
      <c r="J524" s="5"/>
    </row>
    <row r="525" spans="7:10" ht="15.75" customHeight="1" x14ac:dyDescent="0.25">
      <c r="G525" s="5"/>
      <c r="H525" s="5"/>
      <c r="I525" s="5"/>
      <c r="J525" s="5"/>
    </row>
    <row r="526" spans="7:10" ht="15.75" customHeight="1" x14ac:dyDescent="0.25">
      <c r="G526" s="5"/>
      <c r="H526" s="5"/>
      <c r="I526" s="5"/>
      <c r="J526" s="5"/>
    </row>
    <row r="527" spans="7:10" ht="15.75" customHeight="1" x14ac:dyDescent="0.25">
      <c r="G527" s="5"/>
      <c r="H527" s="5"/>
      <c r="I527" s="5"/>
      <c r="J527" s="5"/>
    </row>
    <row r="528" spans="7:10" ht="15.75" customHeight="1" x14ac:dyDescent="0.25">
      <c r="G528" s="5"/>
      <c r="H528" s="5"/>
      <c r="I528" s="5"/>
      <c r="J528" s="5"/>
    </row>
    <row r="529" spans="7:10" ht="15.75" customHeight="1" x14ac:dyDescent="0.25">
      <c r="G529" s="5"/>
      <c r="H529" s="5"/>
      <c r="I529" s="5"/>
      <c r="J529" s="5"/>
    </row>
    <row r="530" spans="7:10" ht="15.75" customHeight="1" x14ac:dyDescent="0.25">
      <c r="G530" s="5"/>
      <c r="H530" s="5"/>
      <c r="I530" s="5"/>
      <c r="J530" s="5"/>
    </row>
    <row r="531" spans="7:10" ht="15.75" customHeight="1" x14ac:dyDescent="0.25">
      <c r="G531" s="5"/>
      <c r="H531" s="5"/>
      <c r="I531" s="5"/>
      <c r="J531" s="5"/>
    </row>
    <row r="532" spans="7:10" ht="15.75" customHeight="1" x14ac:dyDescent="0.25">
      <c r="G532" s="5"/>
      <c r="H532" s="5"/>
      <c r="I532" s="5"/>
      <c r="J532" s="5"/>
    </row>
    <row r="533" spans="7:10" ht="15.75" customHeight="1" x14ac:dyDescent="0.25">
      <c r="G533" s="5"/>
      <c r="H533" s="5"/>
      <c r="I533" s="5"/>
      <c r="J533" s="5"/>
    </row>
    <row r="534" spans="7:10" ht="15.75" customHeight="1" x14ac:dyDescent="0.25">
      <c r="G534" s="5"/>
      <c r="H534" s="5"/>
      <c r="I534" s="5"/>
      <c r="J534" s="5"/>
    </row>
    <row r="535" spans="7:10" ht="15.75" customHeight="1" x14ac:dyDescent="0.25">
      <c r="G535" s="5"/>
      <c r="H535" s="5"/>
      <c r="I535" s="5"/>
      <c r="J535" s="5"/>
    </row>
    <row r="536" spans="7:10" ht="15.75" customHeight="1" x14ac:dyDescent="0.25">
      <c r="G536" s="5"/>
      <c r="H536" s="5"/>
      <c r="I536" s="5"/>
      <c r="J536" s="5"/>
    </row>
    <row r="537" spans="7:10" ht="15.75" customHeight="1" x14ac:dyDescent="0.25">
      <c r="G537" s="5"/>
      <c r="H537" s="5"/>
      <c r="I537" s="5"/>
      <c r="J537" s="5"/>
    </row>
    <row r="538" spans="7:10" ht="15.75" customHeight="1" x14ac:dyDescent="0.25">
      <c r="G538" s="5"/>
      <c r="H538" s="5"/>
      <c r="I538" s="5"/>
      <c r="J538" s="5"/>
    </row>
    <row r="539" spans="7:10" ht="15.75" customHeight="1" x14ac:dyDescent="0.25">
      <c r="G539" s="5"/>
      <c r="H539" s="5"/>
      <c r="I539" s="5"/>
      <c r="J539" s="5"/>
    </row>
    <row r="540" spans="7:10" ht="15.75" customHeight="1" x14ac:dyDescent="0.25">
      <c r="G540" s="5"/>
      <c r="H540" s="5"/>
      <c r="I540" s="5"/>
      <c r="J540" s="5"/>
    </row>
    <row r="541" spans="7:10" ht="15.75" customHeight="1" x14ac:dyDescent="0.25">
      <c r="G541" s="5"/>
      <c r="H541" s="5"/>
      <c r="I541" s="5"/>
      <c r="J541" s="5"/>
    </row>
    <row r="542" spans="7:10" ht="15.75" customHeight="1" x14ac:dyDescent="0.25">
      <c r="G542" s="5"/>
      <c r="H542" s="5"/>
      <c r="I542" s="5"/>
      <c r="J542" s="5"/>
    </row>
    <row r="543" spans="7:10" ht="15.75" customHeight="1" x14ac:dyDescent="0.25">
      <c r="G543" s="5"/>
      <c r="H543" s="5"/>
      <c r="I543" s="5"/>
      <c r="J543" s="5"/>
    </row>
    <row r="544" spans="7:10" ht="15.75" customHeight="1" x14ac:dyDescent="0.25">
      <c r="G544" s="5"/>
      <c r="H544" s="5"/>
      <c r="I544" s="5"/>
      <c r="J544" s="5"/>
    </row>
    <row r="545" spans="7:10" ht="15.75" customHeight="1" x14ac:dyDescent="0.25">
      <c r="G545" s="5"/>
      <c r="H545" s="5"/>
      <c r="I545" s="5"/>
      <c r="J545" s="5"/>
    </row>
    <row r="546" spans="7:10" ht="15.75" customHeight="1" x14ac:dyDescent="0.25">
      <c r="G546" s="5"/>
      <c r="H546" s="5"/>
      <c r="I546" s="5"/>
      <c r="J546" s="5"/>
    </row>
    <row r="547" spans="7:10" ht="15.75" customHeight="1" x14ac:dyDescent="0.25">
      <c r="G547" s="5"/>
      <c r="H547" s="5"/>
      <c r="I547" s="5"/>
      <c r="J547" s="5"/>
    </row>
    <row r="548" spans="7:10" ht="15.75" customHeight="1" x14ac:dyDescent="0.25">
      <c r="G548" s="5"/>
      <c r="H548" s="5"/>
      <c r="I548" s="5"/>
      <c r="J548" s="5"/>
    </row>
    <row r="549" spans="7:10" ht="15.75" customHeight="1" x14ac:dyDescent="0.25">
      <c r="G549" s="5"/>
      <c r="H549" s="5"/>
      <c r="I549" s="5"/>
      <c r="J549" s="5"/>
    </row>
    <row r="550" spans="7:10" ht="15.75" customHeight="1" x14ac:dyDescent="0.25">
      <c r="G550" s="5"/>
      <c r="H550" s="5"/>
      <c r="I550" s="5"/>
      <c r="J550" s="5"/>
    </row>
    <row r="551" spans="7:10" ht="15.75" customHeight="1" x14ac:dyDescent="0.25">
      <c r="G551" s="5"/>
      <c r="H551" s="5"/>
      <c r="I551" s="5"/>
      <c r="J551" s="5"/>
    </row>
    <row r="552" spans="7:10" ht="15.75" customHeight="1" x14ac:dyDescent="0.25">
      <c r="G552" s="5"/>
      <c r="H552" s="5"/>
      <c r="I552" s="5"/>
      <c r="J552" s="5"/>
    </row>
    <row r="553" spans="7:10" ht="15.75" customHeight="1" x14ac:dyDescent="0.25">
      <c r="G553" s="5"/>
      <c r="H553" s="5"/>
      <c r="I553" s="5"/>
      <c r="J553" s="5"/>
    </row>
    <row r="554" spans="7:10" ht="15.75" customHeight="1" x14ac:dyDescent="0.25">
      <c r="G554" s="5"/>
      <c r="H554" s="5"/>
      <c r="I554" s="5"/>
      <c r="J554" s="5"/>
    </row>
    <row r="555" spans="7:10" ht="15.75" customHeight="1" x14ac:dyDescent="0.25">
      <c r="G555" s="5"/>
      <c r="H555" s="5"/>
      <c r="I555" s="5"/>
      <c r="J555" s="5"/>
    </row>
    <row r="556" spans="7:10" ht="15.75" customHeight="1" x14ac:dyDescent="0.25">
      <c r="G556" s="5"/>
      <c r="H556" s="5"/>
      <c r="I556" s="5"/>
      <c r="J556" s="5"/>
    </row>
    <row r="557" spans="7:10" ht="15.75" customHeight="1" x14ac:dyDescent="0.25">
      <c r="G557" s="5"/>
      <c r="H557" s="5"/>
      <c r="I557" s="5"/>
      <c r="J557" s="5"/>
    </row>
    <row r="558" spans="7:10" ht="15.75" customHeight="1" x14ac:dyDescent="0.25">
      <c r="G558" s="5"/>
      <c r="H558" s="5"/>
      <c r="I558" s="5"/>
      <c r="J558" s="5"/>
    </row>
    <row r="559" spans="7:10" ht="15.75" customHeight="1" x14ac:dyDescent="0.25">
      <c r="G559" s="5"/>
      <c r="H559" s="5"/>
      <c r="I559" s="5"/>
      <c r="J559" s="5"/>
    </row>
    <row r="560" spans="7:10" ht="15.75" customHeight="1" x14ac:dyDescent="0.25">
      <c r="G560" s="5"/>
      <c r="H560" s="5"/>
      <c r="I560" s="5"/>
      <c r="J560" s="5"/>
    </row>
    <row r="561" spans="7:10" ht="15.75" customHeight="1" x14ac:dyDescent="0.25">
      <c r="G561" s="5"/>
      <c r="H561" s="5"/>
      <c r="I561" s="5"/>
      <c r="J561" s="5"/>
    </row>
    <row r="562" spans="7:10" ht="15.75" customHeight="1" x14ac:dyDescent="0.25">
      <c r="G562" s="5"/>
      <c r="H562" s="5"/>
      <c r="I562" s="5"/>
      <c r="J562" s="5"/>
    </row>
    <row r="563" spans="7:10" ht="15.75" customHeight="1" x14ac:dyDescent="0.25">
      <c r="G563" s="5"/>
      <c r="H563" s="5"/>
      <c r="I563" s="5"/>
      <c r="J563" s="5"/>
    </row>
    <row r="564" spans="7:10" ht="15.75" customHeight="1" x14ac:dyDescent="0.25">
      <c r="G564" s="5"/>
      <c r="H564" s="5"/>
      <c r="I564" s="5"/>
      <c r="J564" s="5"/>
    </row>
    <row r="565" spans="7:10" ht="15.75" customHeight="1" x14ac:dyDescent="0.25">
      <c r="G565" s="5"/>
      <c r="H565" s="5"/>
      <c r="I565" s="5"/>
      <c r="J565" s="5"/>
    </row>
    <row r="566" spans="7:10" ht="15.75" customHeight="1" x14ac:dyDescent="0.25">
      <c r="G566" s="5"/>
      <c r="H566" s="5"/>
      <c r="I566" s="5"/>
      <c r="J566" s="5"/>
    </row>
    <row r="567" spans="7:10" ht="15.75" customHeight="1" x14ac:dyDescent="0.25">
      <c r="G567" s="5"/>
      <c r="H567" s="5"/>
      <c r="I567" s="5"/>
      <c r="J567" s="5"/>
    </row>
    <row r="568" spans="7:10" ht="15.75" customHeight="1" x14ac:dyDescent="0.25">
      <c r="G568" s="5"/>
      <c r="H568" s="5"/>
      <c r="I568" s="5"/>
      <c r="J568" s="5"/>
    </row>
    <row r="569" spans="7:10" ht="15.75" customHeight="1" x14ac:dyDescent="0.25">
      <c r="G569" s="5"/>
      <c r="H569" s="5"/>
      <c r="I569" s="5"/>
      <c r="J569" s="5"/>
    </row>
    <row r="570" spans="7:10" ht="15.75" customHeight="1" x14ac:dyDescent="0.25">
      <c r="G570" s="5"/>
      <c r="H570" s="5"/>
      <c r="I570" s="5"/>
      <c r="J570" s="5"/>
    </row>
    <row r="571" spans="7:10" ht="15.75" customHeight="1" x14ac:dyDescent="0.25">
      <c r="G571" s="5"/>
      <c r="H571" s="5"/>
      <c r="I571" s="5"/>
      <c r="J571" s="5"/>
    </row>
    <row r="572" spans="7:10" ht="15.75" customHeight="1" x14ac:dyDescent="0.25">
      <c r="G572" s="5"/>
      <c r="H572" s="5"/>
      <c r="I572" s="5"/>
      <c r="J572" s="5"/>
    </row>
    <row r="573" spans="7:10" ht="15.75" customHeight="1" x14ac:dyDescent="0.25">
      <c r="G573" s="5"/>
      <c r="H573" s="5"/>
      <c r="I573" s="5"/>
      <c r="J573" s="5"/>
    </row>
    <row r="574" spans="7:10" ht="15.75" customHeight="1" x14ac:dyDescent="0.25">
      <c r="G574" s="5"/>
      <c r="H574" s="5"/>
      <c r="I574" s="5"/>
      <c r="J574" s="5"/>
    </row>
    <row r="575" spans="7:10" ht="15.75" customHeight="1" x14ac:dyDescent="0.25">
      <c r="G575" s="5"/>
      <c r="H575" s="5"/>
      <c r="I575" s="5"/>
      <c r="J575" s="5"/>
    </row>
    <row r="576" spans="7:10" ht="15.75" customHeight="1" x14ac:dyDescent="0.25">
      <c r="G576" s="5"/>
      <c r="H576" s="5"/>
      <c r="I576" s="5"/>
      <c r="J576" s="5"/>
    </row>
    <row r="577" spans="7:10" ht="15.75" customHeight="1" x14ac:dyDescent="0.25">
      <c r="G577" s="5"/>
      <c r="H577" s="5"/>
      <c r="I577" s="5"/>
      <c r="J577" s="5"/>
    </row>
    <row r="578" spans="7:10" ht="15.75" customHeight="1" x14ac:dyDescent="0.25">
      <c r="G578" s="5"/>
      <c r="H578" s="5"/>
      <c r="I578" s="5"/>
      <c r="J578" s="5"/>
    </row>
    <row r="579" spans="7:10" ht="15.75" customHeight="1" x14ac:dyDescent="0.25">
      <c r="G579" s="5"/>
      <c r="H579" s="5"/>
      <c r="I579" s="5"/>
      <c r="J579" s="5"/>
    </row>
    <row r="580" spans="7:10" ht="15.75" customHeight="1" x14ac:dyDescent="0.25">
      <c r="G580" s="5"/>
      <c r="H580" s="5"/>
      <c r="I580" s="5"/>
      <c r="J580" s="5"/>
    </row>
    <row r="581" spans="7:10" ht="15.75" customHeight="1" x14ac:dyDescent="0.25">
      <c r="G581" s="5"/>
      <c r="H581" s="5"/>
      <c r="I581" s="5"/>
      <c r="J581" s="5"/>
    </row>
    <row r="582" spans="7:10" ht="15.75" customHeight="1" x14ac:dyDescent="0.25">
      <c r="G582" s="5"/>
      <c r="H582" s="5"/>
      <c r="I582" s="5"/>
      <c r="J582" s="5"/>
    </row>
    <row r="583" spans="7:10" ht="15.75" customHeight="1" x14ac:dyDescent="0.25">
      <c r="G583" s="5"/>
      <c r="H583" s="5"/>
      <c r="I583" s="5"/>
      <c r="J583" s="5"/>
    </row>
    <row r="584" spans="7:10" ht="15.75" customHeight="1" x14ac:dyDescent="0.25">
      <c r="G584" s="5"/>
      <c r="H584" s="5"/>
      <c r="I584" s="5"/>
      <c r="J584" s="5"/>
    </row>
    <row r="585" spans="7:10" ht="15.75" customHeight="1" x14ac:dyDescent="0.25">
      <c r="G585" s="5"/>
      <c r="H585" s="5"/>
      <c r="I585" s="5"/>
      <c r="J585" s="5"/>
    </row>
    <row r="586" spans="7:10" ht="15.75" customHeight="1" x14ac:dyDescent="0.25">
      <c r="G586" s="5"/>
      <c r="H586" s="5"/>
      <c r="I586" s="5"/>
      <c r="J586" s="5"/>
    </row>
    <row r="587" spans="7:10" ht="15.75" customHeight="1" x14ac:dyDescent="0.25">
      <c r="G587" s="5"/>
      <c r="H587" s="5"/>
      <c r="I587" s="5"/>
      <c r="J587" s="5"/>
    </row>
    <row r="588" spans="7:10" ht="15.75" customHeight="1" x14ac:dyDescent="0.25">
      <c r="G588" s="5"/>
      <c r="H588" s="5"/>
      <c r="I588" s="5"/>
      <c r="J588" s="5"/>
    </row>
    <row r="589" spans="7:10" ht="15.75" customHeight="1" x14ac:dyDescent="0.25">
      <c r="G589" s="5"/>
      <c r="H589" s="5"/>
      <c r="I589" s="5"/>
      <c r="J589" s="5"/>
    </row>
    <row r="590" spans="7:10" ht="15.75" customHeight="1" x14ac:dyDescent="0.25">
      <c r="G590" s="5"/>
      <c r="H590" s="5"/>
      <c r="I590" s="5"/>
      <c r="J590" s="5"/>
    </row>
    <row r="591" spans="7:10" ht="15.75" customHeight="1" x14ac:dyDescent="0.25">
      <c r="G591" s="5"/>
      <c r="H591" s="5"/>
      <c r="I591" s="5"/>
      <c r="J591" s="5"/>
    </row>
    <row r="592" spans="7:10" ht="15.75" customHeight="1" x14ac:dyDescent="0.25">
      <c r="G592" s="5"/>
      <c r="H592" s="5"/>
      <c r="I592" s="5"/>
      <c r="J592" s="5"/>
    </row>
    <row r="593" spans="7:10" ht="15.75" customHeight="1" x14ac:dyDescent="0.25">
      <c r="G593" s="5"/>
      <c r="H593" s="5"/>
      <c r="I593" s="5"/>
      <c r="J593" s="5"/>
    </row>
    <row r="594" spans="7:10" ht="15.75" customHeight="1" x14ac:dyDescent="0.25">
      <c r="G594" s="5"/>
      <c r="H594" s="5"/>
      <c r="I594" s="5"/>
      <c r="J594" s="5"/>
    </row>
    <row r="595" spans="7:10" ht="15.75" customHeight="1" x14ac:dyDescent="0.25">
      <c r="G595" s="5"/>
      <c r="H595" s="5"/>
      <c r="I595" s="5"/>
      <c r="J595" s="5"/>
    </row>
    <row r="596" spans="7:10" ht="15.75" customHeight="1" x14ac:dyDescent="0.25">
      <c r="G596" s="5"/>
      <c r="H596" s="5"/>
      <c r="I596" s="5"/>
      <c r="J596" s="5"/>
    </row>
    <row r="597" spans="7:10" ht="15.75" customHeight="1" x14ac:dyDescent="0.25">
      <c r="G597" s="5"/>
      <c r="H597" s="5"/>
      <c r="I597" s="5"/>
      <c r="J597" s="5"/>
    </row>
    <row r="598" spans="7:10" ht="15.75" customHeight="1" x14ac:dyDescent="0.25">
      <c r="G598" s="5"/>
      <c r="H598" s="5"/>
      <c r="I598" s="5"/>
      <c r="J598" s="5"/>
    </row>
    <row r="599" spans="7:10" ht="15.75" customHeight="1" x14ac:dyDescent="0.25">
      <c r="G599" s="5"/>
      <c r="H599" s="5"/>
      <c r="I599" s="5"/>
      <c r="J599" s="5"/>
    </row>
    <row r="600" spans="7:10" ht="15.75" customHeight="1" x14ac:dyDescent="0.25">
      <c r="G600" s="5"/>
      <c r="H600" s="5"/>
      <c r="I600" s="5"/>
      <c r="J600" s="5"/>
    </row>
    <row r="601" spans="7:10" ht="15.75" customHeight="1" x14ac:dyDescent="0.25">
      <c r="G601" s="5"/>
      <c r="H601" s="5"/>
      <c r="I601" s="5"/>
      <c r="J601" s="5"/>
    </row>
    <row r="602" spans="7:10" ht="15.75" customHeight="1" x14ac:dyDescent="0.25">
      <c r="G602" s="5"/>
      <c r="H602" s="5"/>
      <c r="I602" s="5"/>
      <c r="J602" s="5"/>
    </row>
    <row r="603" spans="7:10" ht="15.75" customHeight="1" x14ac:dyDescent="0.25">
      <c r="G603" s="5"/>
      <c r="H603" s="5"/>
      <c r="I603" s="5"/>
      <c r="J603" s="5"/>
    </row>
    <row r="604" spans="7:10" ht="15.75" customHeight="1" x14ac:dyDescent="0.25">
      <c r="G604" s="5"/>
      <c r="H604" s="5"/>
      <c r="I604" s="5"/>
      <c r="J604" s="5"/>
    </row>
    <row r="605" spans="7:10" ht="15.75" customHeight="1" x14ac:dyDescent="0.25">
      <c r="G605" s="5"/>
      <c r="H605" s="5"/>
      <c r="I605" s="5"/>
      <c r="J605" s="5"/>
    </row>
    <row r="606" spans="7:10" ht="15.75" customHeight="1" x14ac:dyDescent="0.25">
      <c r="G606" s="5"/>
      <c r="H606" s="5"/>
      <c r="I606" s="5"/>
      <c r="J606" s="5"/>
    </row>
    <row r="607" spans="7:10" ht="15.75" customHeight="1" x14ac:dyDescent="0.25">
      <c r="G607" s="5"/>
      <c r="H607" s="5"/>
      <c r="I607" s="5"/>
      <c r="J607" s="5"/>
    </row>
    <row r="608" spans="7:10" ht="15.75" customHeight="1" x14ac:dyDescent="0.25">
      <c r="G608" s="5"/>
      <c r="H608" s="5"/>
      <c r="I608" s="5"/>
      <c r="J608" s="5"/>
    </row>
    <row r="609" spans="7:10" ht="15.75" customHeight="1" x14ac:dyDescent="0.25">
      <c r="G609" s="5"/>
      <c r="H609" s="5"/>
      <c r="I609" s="5"/>
      <c r="J609" s="5"/>
    </row>
    <row r="610" spans="7:10" ht="15.75" customHeight="1" x14ac:dyDescent="0.25">
      <c r="G610" s="5"/>
      <c r="H610" s="5"/>
      <c r="I610" s="5"/>
      <c r="J610" s="5"/>
    </row>
    <row r="611" spans="7:10" ht="15.75" customHeight="1" x14ac:dyDescent="0.25">
      <c r="G611" s="5"/>
      <c r="H611" s="5"/>
      <c r="I611" s="5"/>
      <c r="J611" s="5"/>
    </row>
    <row r="612" spans="7:10" ht="15.75" customHeight="1" x14ac:dyDescent="0.25">
      <c r="G612" s="5"/>
      <c r="H612" s="5"/>
      <c r="I612" s="5"/>
      <c r="J612" s="5"/>
    </row>
    <row r="613" spans="7:10" ht="15.75" customHeight="1" x14ac:dyDescent="0.25">
      <c r="G613" s="5"/>
      <c r="H613" s="5"/>
      <c r="I613" s="5"/>
      <c r="J613" s="5"/>
    </row>
    <row r="614" spans="7:10" ht="15.75" customHeight="1" x14ac:dyDescent="0.25">
      <c r="G614" s="5"/>
      <c r="H614" s="5"/>
      <c r="I614" s="5"/>
      <c r="J614" s="5"/>
    </row>
    <row r="615" spans="7:10" ht="15.75" customHeight="1" x14ac:dyDescent="0.25">
      <c r="G615" s="5"/>
      <c r="H615" s="5"/>
      <c r="I615" s="5"/>
      <c r="J615" s="5"/>
    </row>
    <row r="616" spans="7:10" ht="15.75" customHeight="1" x14ac:dyDescent="0.25">
      <c r="G616" s="5"/>
      <c r="H616" s="5"/>
      <c r="I616" s="5"/>
      <c r="J616" s="5"/>
    </row>
    <row r="617" spans="7:10" ht="15.75" customHeight="1" x14ac:dyDescent="0.25">
      <c r="G617" s="5"/>
      <c r="H617" s="5"/>
      <c r="I617" s="5"/>
      <c r="J617" s="5"/>
    </row>
    <row r="618" spans="7:10" ht="15.75" customHeight="1" x14ac:dyDescent="0.25">
      <c r="G618" s="5"/>
      <c r="H618" s="5"/>
      <c r="I618" s="5"/>
      <c r="J618" s="5"/>
    </row>
    <row r="619" spans="7:10" ht="15.75" customHeight="1" x14ac:dyDescent="0.25">
      <c r="G619" s="5"/>
      <c r="H619" s="5"/>
      <c r="I619" s="5"/>
      <c r="J619" s="5"/>
    </row>
    <row r="620" spans="7:10" ht="15.75" customHeight="1" x14ac:dyDescent="0.25">
      <c r="G620" s="5"/>
      <c r="H620" s="5"/>
      <c r="I620" s="5"/>
      <c r="J620" s="5"/>
    </row>
    <row r="621" spans="7:10" ht="15.75" customHeight="1" x14ac:dyDescent="0.25">
      <c r="G621" s="5"/>
      <c r="H621" s="5"/>
      <c r="I621" s="5"/>
      <c r="J621" s="5"/>
    </row>
    <row r="622" spans="7:10" ht="15.75" customHeight="1" x14ac:dyDescent="0.25">
      <c r="G622" s="5"/>
      <c r="H622" s="5"/>
      <c r="I622" s="5"/>
      <c r="J622" s="5"/>
    </row>
    <row r="623" spans="7:10" ht="15.75" customHeight="1" x14ac:dyDescent="0.25">
      <c r="G623" s="5"/>
      <c r="H623" s="5"/>
      <c r="I623" s="5"/>
      <c r="J623" s="5"/>
    </row>
    <row r="624" spans="7:10" ht="15.75" customHeight="1" x14ac:dyDescent="0.25">
      <c r="G624" s="5"/>
      <c r="H624" s="5"/>
      <c r="I624" s="5"/>
      <c r="J624" s="5"/>
    </row>
    <row r="625" spans="7:10" ht="15.75" customHeight="1" x14ac:dyDescent="0.25">
      <c r="G625" s="5"/>
      <c r="H625" s="5"/>
      <c r="I625" s="5"/>
      <c r="J625" s="5"/>
    </row>
    <row r="626" spans="7:10" ht="15.75" customHeight="1" x14ac:dyDescent="0.25">
      <c r="G626" s="5"/>
      <c r="H626" s="5"/>
      <c r="I626" s="5"/>
      <c r="J626" s="5"/>
    </row>
    <row r="627" spans="7:10" ht="15.75" customHeight="1" x14ac:dyDescent="0.25">
      <c r="G627" s="5"/>
      <c r="H627" s="5"/>
      <c r="I627" s="5"/>
      <c r="J627" s="5"/>
    </row>
    <row r="628" spans="7:10" ht="15.75" customHeight="1" x14ac:dyDescent="0.25">
      <c r="G628" s="5"/>
      <c r="H628" s="5"/>
      <c r="I628" s="5"/>
      <c r="J628" s="5"/>
    </row>
    <row r="629" spans="7:10" ht="15.75" customHeight="1" x14ac:dyDescent="0.25">
      <c r="G629" s="5"/>
      <c r="H629" s="5"/>
      <c r="I629" s="5"/>
      <c r="J629" s="5"/>
    </row>
    <row r="630" spans="7:10" ht="15.75" customHeight="1" x14ac:dyDescent="0.25">
      <c r="G630" s="5"/>
      <c r="H630" s="5"/>
      <c r="I630" s="5"/>
      <c r="J630" s="5"/>
    </row>
    <row r="631" spans="7:10" ht="15.75" customHeight="1" x14ac:dyDescent="0.25">
      <c r="G631" s="5"/>
      <c r="H631" s="5"/>
      <c r="I631" s="5"/>
      <c r="J631" s="5"/>
    </row>
    <row r="632" spans="7:10" ht="15.75" customHeight="1" x14ac:dyDescent="0.25">
      <c r="G632" s="5"/>
      <c r="H632" s="5"/>
      <c r="I632" s="5"/>
      <c r="J632" s="5"/>
    </row>
    <row r="633" spans="7:10" ht="15.75" customHeight="1" x14ac:dyDescent="0.25">
      <c r="G633" s="5"/>
      <c r="H633" s="5"/>
      <c r="I633" s="5"/>
      <c r="J633" s="5"/>
    </row>
    <row r="634" spans="7:10" ht="15.75" customHeight="1" x14ac:dyDescent="0.25">
      <c r="G634" s="5"/>
      <c r="H634" s="5"/>
      <c r="I634" s="5"/>
      <c r="J634" s="5"/>
    </row>
    <row r="635" spans="7:10" ht="15.75" customHeight="1" x14ac:dyDescent="0.25">
      <c r="G635" s="5"/>
      <c r="H635" s="5"/>
      <c r="I635" s="5"/>
      <c r="J635" s="5"/>
    </row>
    <row r="636" spans="7:10" ht="15.75" customHeight="1" x14ac:dyDescent="0.25">
      <c r="G636" s="5"/>
      <c r="H636" s="5"/>
      <c r="I636" s="5"/>
      <c r="J636" s="5"/>
    </row>
    <row r="637" spans="7:10" ht="15.75" customHeight="1" x14ac:dyDescent="0.25">
      <c r="G637" s="5"/>
      <c r="H637" s="5"/>
      <c r="I637" s="5"/>
      <c r="J637" s="5"/>
    </row>
    <row r="638" spans="7:10" ht="15.75" customHeight="1" x14ac:dyDescent="0.25">
      <c r="G638" s="5"/>
      <c r="H638" s="5"/>
      <c r="I638" s="5"/>
      <c r="J638" s="5"/>
    </row>
    <row r="639" spans="7:10" ht="15.75" customHeight="1" x14ac:dyDescent="0.25">
      <c r="G639" s="5"/>
      <c r="H639" s="5"/>
      <c r="I639" s="5"/>
      <c r="J639" s="5"/>
    </row>
    <row r="640" spans="7:10" ht="15.75" customHeight="1" x14ac:dyDescent="0.25">
      <c r="G640" s="5"/>
      <c r="H640" s="5"/>
      <c r="I640" s="5"/>
      <c r="J640" s="5"/>
    </row>
    <row r="641" spans="7:10" ht="15.75" customHeight="1" x14ac:dyDescent="0.25">
      <c r="G641" s="5"/>
      <c r="H641" s="5"/>
      <c r="I641" s="5"/>
      <c r="J641" s="5"/>
    </row>
    <row r="642" spans="7:10" ht="15.75" customHeight="1" x14ac:dyDescent="0.25">
      <c r="G642" s="5"/>
      <c r="H642" s="5"/>
      <c r="I642" s="5"/>
      <c r="J642" s="5"/>
    </row>
    <row r="643" spans="7:10" ht="15.75" customHeight="1" x14ac:dyDescent="0.25">
      <c r="G643" s="5"/>
      <c r="H643" s="5"/>
      <c r="I643" s="5"/>
      <c r="J643" s="5"/>
    </row>
    <row r="644" spans="7:10" ht="15.75" customHeight="1" x14ac:dyDescent="0.25">
      <c r="G644" s="5"/>
      <c r="H644" s="5"/>
      <c r="I644" s="5"/>
      <c r="J644" s="5"/>
    </row>
    <row r="645" spans="7:10" ht="15.75" customHeight="1" x14ac:dyDescent="0.25">
      <c r="G645" s="5"/>
      <c r="H645" s="5"/>
      <c r="I645" s="5"/>
      <c r="J645" s="5"/>
    </row>
    <row r="646" spans="7:10" ht="15.75" customHeight="1" x14ac:dyDescent="0.25">
      <c r="G646" s="5"/>
      <c r="H646" s="5"/>
      <c r="I646" s="5"/>
      <c r="J646" s="5"/>
    </row>
    <row r="647" spans="7:10" ht="15.75" customHeight="1" x14ac:dyDescent="0.25">
      <c r="G647" s="5"/>
      <c r="H647" s="5"/>
      <c r="I647" s="5"/>
      <c r="J647" s="5"/>
    </row>
    <row r="648" spans="7:10" ht="15.75" customHeight="1" x14ac:dyDescent="0.25">
      <c r="G648" s="5"/>
      <c r="H648" s="5"/>
      <c r="I648" s="5"/>
      <c r="J648" s="5"/>
    </row>
    <row r="649" spans="7:10" ht="15.75" customHeight="1" x14ac:dyDescent="0.25">
      <c r="G649" s="5"/>
      <c r="H649" s="5"/>
      <c r="I649" s="5"/>
      <c r="J649" s="5"/>
    </row>
    <row r="650" spans="7:10" ht="15.75" customHeight="1" x14ac:dyDescent="0.25">
      <c r="G650" s="5"/>
      <c r="H650" s="5"/>
      <c r="I650" s="5"/>
      <c r="J650" s="5"/>
    </row>
    <row r="651" spans="7:10" ht="15.75" customHeight="1" x14ac:dyDescent="0.25">
      <c r="G651" s="5"/>
      <c r="H651" s="5"/>
      <c r="I651" s="5"/>
      <c r="J651" s="5"/>
    </row>
    <row r="652" spans="7:10" ht="15.75" customHeight="1" x14ac:dyDescent="0.25">
      <c r="G652" s="5"/>
      <c r="H652" s="5"/>
      <c r="I652" s="5"/>
      <c r="J652" s="5"/>
    </row>
    <row r="653" spans="7:10" ht="15.75" customHeight="1" x14ac:dyDescent="0.25">
      <c r="G653" s="5"/>
      <c r="H653" s="5"/>
      <c r="I653" s="5"/>
      <c r="J653" s="5"/>
    </row>
    <row r="654" spans="7:10" ht="15.75" customHeight="1" x14ac:dyDescent="0.25">
      <c r="G654" s="5"/>
      <c r="H654" s="5"/>
      <c r="I654" s="5"/>
      <c r="J654" s="5"/>
    </row>
    <row r="655" spans="7:10" ht="15.75" customHeight="1" x14ac:dyDescent="0.25">
      <c r="G655" s="5"/>
      <c r="H655" s="5"/>
      <c r="I655" s="5"/>
      <c r="J655" s="5"/>
    </row>
    <row r="656" spans="7:10" ht="15.75" customHeight="1" x14ac:dyDescent="0.25">
      <c r="G656" s="5"/>
      <c r="H656" s="5"/>
      <c r="I656" s="5"/>
      <c r="J656" s="5"/>
    </row>
    <row r="657" spans="7:10" ht="15.75" customHeight="1" x14ac:dyDescent="0.25">
      <c r="G657" s="5"/>
      <c r="H657" s="5"/>
      <c r="I657" s="5"/>
      <c r="J657" s="5"/>
    </row>
    <row r="658" spans="7:10" ht="15.75" customHeight="1" x14ac:dyDescent="0.25">
      <c r="G658" s="5"/>
      <c r="H658" s="5"/>
      <c r="I658" s="5"/>
      <c r="J658" s="5"/>
    </row>
    <row r="659" spans="7:10" ht="15.75" customHeight="1" x14ac:dyDescent="0.25">
      <c r="G659" s="5"/>
      <c r="H659" s="5"/>
      <c r="I659" s="5"/>
      <c r="J659" s="5"/>
    </row>
    <row r="660" spans="7:10" ht="15.75" customHeight="1" x14ac:dyDescent="0.25">
      <c r="G660" s="5"/>
      <c r="H660" s="5"/>
      <c r="I660" s="5"/>
      <c r="J660" s="5"/>
    </row>
    <row r="661" spans="7:10" ht="15.75" customHeight="1" x14ac:dyDescent="0.25">
      <c r="G661" s="5"/>
      <c r="H661" s="5"/>
      <c r="I661" s="5"/>
      <c r="J661" s="5"/>
    </row>
    <row r="662" spans="7:10" ht="15.75" customHeight="1" x14ac:dyDescent="0.25">
      <c r="G662" s="5"/>
      <c r="H662" s="5"/>
      <c r="I662" s="5"/>
      <c r="J662" s="5"/>
    </row>
    <row r="663" spans="7:10" ht="15.75" customHeight="1" x14ac:dyDescent="0.25">
      <c r="G663" s="5"/>
      <c r="H663" s="5"/>
      <c r="I663" s="5"/>
      <c r="J663" s="5"/>
    </row>
    <row r="664" spans="7:10" ht="15.75" customHeight="1" x14ac:dyDescent="0.25">
      <c r="G664" s="5"/>
      <c r="H664" s="5"/>
      <c r="I664" s="5"/>
      <c r="J664" s="5"/>
    </row>
    <row r="665" spans="7:10" ht="15.75" customHeight="1" x14ac:dyDescent="0.25">
      <c r="G665" s="5"/>
      <c r="H665" s="5"/>
      <c r="I665" s="5"/>
      <c r="J665" s="5"/>
    </row>
    <row r="666" spans="7:10" ht="15.75" customHeight="1" x14ac:dyDescent="0.25">
      <c r="G666" s="5"/>
      <c r="H666" s="5"/>
      <c r="I666" s="5"/>
      <c r="J666" s="5"/>
    </row>
    <row r="667" spans="7:10" ht="15.75" customHeight="1" x14ac:dyDescent="0.25">
      <c r="G667" s="5"/>
      <c r="H667" s="5"/>
      <c r="I667" s="5"/>
      <c r="J667" s="5"/>
    </row>
    <row r="668" spans="7:10" ht="15.75" customHeight="1" x14ac:dyDescent="0.25">
      <c r="G668" s="5"/>
      <c r="H668" s="5"/>
      <c r="I668" s="5"/>
      <c r="J668" s="5"/>
    </row>
    <row r="669" spans="7:10" ht="15.75" customHeight="1" x14ac:dyDescent="0.25">
      <c r="G669" s="5"/>
      <c r="H669" s="5"/>
      <c r="I669" s="5"/>
      <c r="J669" s="5"/>
    </row>
    <row r="670" spans="7:10" ht="15.75" customHeight="1" x14ac:dyDescent="0.25">
      <c r="G670" s="5"/>
      <c r="H670" s="5"/>
      <c r="I670" s="5"/>
      <c r="J670" s="5"/>
    </row>
    <row r="671" spans="7:10" ht="15.75" customHeight="1" x14ac:dyDescent="0.25">
      <c r="G671" s="5"/>
      <c r="H671" s="5"/>
      <c r="I671" s="5"/>
      <c r="J671" s="5"/>
    </row>
    <row r="672" spans="7:10" ht="15.75" customHeight="1" x14ac:dyDescent="0.25">
      <c r="G672" s="5"/>
      <c r="H672" s="5"/>
      <c r="I672" s="5"/>
      <c r="J672" s="5"/>
    </row>
    <row r="673" spans="7:10" ht="15.75" customHeight="1" x14ac:dyDescent="0.25">
      <c r="G673" s="5"/>
      <c r="H673" s="5"/>
      <c r="I673" s="5"/>
      <c r="J673" s="5"/>
    </row>
    <row r="674" spans="7:10" ht="15.75" customHeight="1" x14ac:dyDescent="0.25">
      <c r="G674" s="5"/>
      <c r="H674" s="5"/>
      <c r="I674" s="5"/>
      <c r="J674" s="5"/>
    </row>
    <row r="675" spans="7:10" ht="15.75" customHeight="1" x14ac:dyDescent="0.25">
      <c r="G675" s="5"/>
      <c r="H675" s="5"/>
      <c r="I675" s="5"/>
      <c r="J675" s="5"/>
    </row>
    <row r="676" spans="7:10" ht="15.75" customHeight="1" x14ac:dyDescent="0.25">
      <c r="G676" s="5"/>
      <c r="H676" s="5"/>
      <c r="I676" s="5"/>
      <c r="J676" s="5"/>
    </row>
    <row r="677" spans="7:10" ht="15.75" customHeight="1" x14ac:dyDescent="0.25">
      <c r="G677" s="5"/>
      <c r="H677" s="5"/>
      <c r="I677" s="5"/>
      <c r="J677" s="5"/>
    </row>
    <row r="678" spans="7:10" ht="15.75" customHeight="1" x14ac:dyDescent="0.25">
      <c r="G678" s="5"/>
      <c r="H678" s="5"/>
      <c r="I678" s="5"/>
      <c r="J678" s="5"/>
    </row>
    <row r="679" spans="7:10" ht="15.75" customHeight="1" x14ac:dyDescent="0.25">
      <c r="G679" s="5"/>
      <c r="H679" s="5"/>
      <c r="I679" s="5"/>
      <c r="J679" s="5"/>
    </row>
    <row r="680" spans="7:10" ht="15.75" customHeight="1" x14ac:dyDescent="0.25">
      <c r="G680" s="5"/>
      <c r="H680" s="5"/>
      <c r="I680" s="5"/>
      <c r="J680" s="5"/>
    </row>
    <row r="681" spans="7:10" ht="15.75" customHeight="1" x14ac:dyDescent="0.25">
      <c r="G681" s="5"/>
      <c r="H681" s="5"/>
      <c r="I681" s="5"/>
      <c r="J681" s="5"/>
    </row>
    <row r="682" spans="7:10" ht="15.75" customHeight="1" x14ac:dyDescent="0.25">
      <c r="G682" s="5"/>
      <c r="H682" s="5"/>
      <c r="I682" s="5"/>
      <c r="J682" s="5"/>
    </row>
    <row r="683" spans="7:10" ht="15.75" customHeight="1" x14ac:dyDescent="0.25">
      <c r="G683" s="5"/>
      <c r="H683" s="5"/>
      <c r="I683" s="5"/>
      <c r="J683" s="5"/>
    </row>
    <row r="684" spans="7:10" ht="15.75" customHeight="1" x14ac:dyDescent="0.25">
      <c r="G684" s="5"/>
      <c r="H684" s="5"/>
      <c r="I684" s="5"/>
      <c r="J684" s="5"/>
    </row>
    <row r="685" spans="7:10" ht="15.75" customHeight="1" x14ac:dyDescent="0.25">
      <c r="G685" s="5"/>
      <c r="H685" s="5"/>
      <c r="I685" s="5"/>
      <c r="J685" s="5"/>
    </row>
    <row r="686" spans="7:10" ht="15.75" customHeight="1" x14ac:dyDescent="0.25">
      <c r="G686" s="5"/>
      <c r="H686" s="5"/>
      <c r="I686" s="5"/>
      <c r="J686" s="5"/>
    </row>
    <row r="687" spans="7:10" ht="15.75" customHeight="1" x14ac:dyDescent="0.25">
      <c r="G687" s="5"/>
      <c r="H687" s="5"/>
      <c r="I687" s="5"/>
      <c r="J687" s="5"/>
    </row>
    <row r="688" spans="7:10" ht="15.75" customHeight="1" x14ac:dyDescent="0.25">
      <c r="G688" s="5"/>
      <c r="H688" s="5"/>
      <c r="I688" s="5"/>
      <c r="J688" s="5"/>
    </row>
    <row r="689" spans="7:10" ht="15.75" customHeight="1" x14ac:dyDescent="0.25">
      <c r="G689" s="5"/>
      <c r="H689" s="5"/>
      <c r="I689" s="5"/>
      <c r="J689" s="5"/>
    </row>
    <row r="690" spans="7:10" ht="15.75" customHeight="1" x14ac:dyDescent="0.25">
      <c r="G690" s="5"/>
      <c r="H690" s="5"/>
      <c r="I690" s="5"/>
      <c r="J690" s="5"/>
    </row>
    <row r="691" spans="7:10" ht="15.75" customHeight="1" x14ac:dyDescent="0.25">
      <c r="G691" s="5"/>
      <c r="H691" s="5"/>
      <c r="I691" s="5"/>
      <c r="J691" s="5"/>
    </row>
    <row r="692" spans="7:10" ht="15.75" customHeight="1" x14ac:dyDescent="0.25">
      <c r="G692" s="5"/>
      <c r="H692" s="5"/>
      <c r="I692" s="5"/>
      <c r="J692" s="5"/>
    </row>
    <row r="693" spans="7:10" ht="15.75" customHeight="1" x14ac:dyDescent="0.25">
      <c r="G693" s="5"/>
      <c r="H693" s="5"/>
      <c r="I693" s="5"/>
      <c r="J693" s="5"/>
    </row>
    <row r="694" spans="7:10" ht="15.75" customHeight="1" x14ac:dyDescent="0.25">
      <c r="G694" s="5"/>
      <c r="H694" s="5"/>
      <c r="I694" s="5"/>
      <c r="J694" s="5"/>
    </row>
    <row r="695" spans="7:10" ht="15.75" customHeight="1" x14ac:dyDescent="0.25">
      <c r="G695" s="5"/>
      <c r="H695" s="5"/>
      <c r="I695" s="5"/>
      <c r="J695" s="5"/>
    </row>
    <row r="696" spans="7:10" ht="15.75" customHeight="1" x14ac:dyDescent="0.25">
      <c r="G696" s="5"/>
      <c r="H696" s="5"/>
      <c r="I696" s="5"/>
      <c r="J696" s="5"/>
    </row>
    <row r="697" spans="7:10" ht="15.75" customHeight="1" x14ac:dyDescent="0.25">
      <c r="G697" s="5"/>
      <c r="H697" s="5"/>
      <c r="I697" s="5"/>
      <c r="J697" s="5"/>
    </row>
    <row r="698" spans="7:10" ht="15.75" customHeight="1" x14ac:dyDescent="0.25">
      <c r="G698" s="5"/>
      <c r="H698" s="5"/>
      <c r="I698" s="5"/>
      <c r="J698" s="5"/>
    </row>
    <row r="699" spans="7:10" ht="15.75" customHeight="1" x14ac:dyDescent="0.25">
      <c r="G699" s="5"/>
      <c r="H699" s="5"/>
      <c r="I699" s="5"/>
      <c r="J699" s="5"/>
    </row>
    <row r="700" spans="7:10" ht="15.75" customHeight="1" x14ac:dyDescent="0.25">
      <c r="G700" s="5"/>
      <c r="H700" s="5"/>
      <c r="I700" s="5"/>
      <c r="J700" s="5"/>
    </row>
    <row r="701" spans="7:10" ht="15.75" customHeight="1" x14ac:dyDescent="0.25">
      <c r="G701" s="5"/>
      <c r="H701" s="5"/>
      <c r="I701" s="5"/>
      <c r="J701" s="5"/>
    </row>
    <row r="702" spans="7:10" ht="15.75" customHeight="1" x14ac:dyDescent="0.25">
      <c r="G702" s="5"/>
      <c r="H702" s="5"/>
      <c r="I702" s="5"/>
      <c r="J702" s="5"/>
    </row>
    <row r="703" spans="7:10" ht="15.75" customHeight="1" x14ac:dyDescent="0.25">
      <c r="G703" s="5"/>
      <c r="H703" s="5"/>
      <c r="I703" s="5"/>
      <c r="J703" s="5"/>
    </row>
    <row r="704" spans="7:10" ht="15.75" customHeight="1" x14ac:dyDescent="0.25">
      <c r="G704" s="5"/>
      <c r="H704" s="5"/>
      <c r="I704" s="5"/>
      <c r="J704" s="5"/>
    </row>
    <row r="705" spans="7:10" ht="15.75" customHeight="1" x14ac:dyDescent="0.25">
      <c r="G705" s="5"/>
      <c r="H705" s="5"/>
      <c r="I705" s="5"/>
      <c r="J705" s="5"/>
    </row>
    <row r="706" spans="7:10" ht="15.75" customHeight="1" x14ac:dyDescent="0.25">
      <c r="G706" s="5"/>
      <c r="H706" s="5"/>
      <c r="I706" s="5"/>
      <c r="J706" s="5"/>
    </row>
    <row r="707" spans="7:10" ht="15.75" customHeight="1" x14ac:dyDescent="0.25">
      <c r="G707" s="5"/>
      <c r="H707" s="5"/>
      <c r="I707" s="5"/>
      <c r="J707" s="5"/>
    </row>
    <row r="708" spans="7:10" ht="15.75" customHeight="1" x14ac:dyDescent="0.25">
      <c r="G708" s="5"/>
      <c r="H708" s="5"/>
      <c r="I708" s="5"/>
      <c r="J708" s="5"/>
    </row>
    <row r="709" spans="7:10" ht="15.75" customHeight="1" x14ac:dyDescent="0.25">
      <c r="G709" s="5"/>
      <c r="H709" s="5"/>
      <c r="I709" s="5"/>
      <c r="J709" s="5"/>
    </row>
    <row r="710" spans="7:10" ht="15.75" customHeight="1" x14ac:dyDescent="0.25">
      <c r="G710" s="5"/>
      <c r="H710" s="5"/>
      <c r="I710" s="5"/>
      <c r="J710" s="5"/>
    </row>
    <row r="711" spans="7:10" ht="15.75" customHeight="1" x14ac:dyDescent="0.25">
      <c r="G711" s="5"/>
      <c r="H711" s="5"/>
      <c r="I711" s="5"/>
      <c r="J711" s="5"/>
    </row>
    <row r="712" spans="7:10" ht="15.75" customHeight="1" x14ac:dyDescent="0.25">
      <c r="G712" s="5"/>
      <c r="H712" s="5"/>
      <c r="I712" s="5"/>
      <c r="J712" s="5"/>
    </row>
    <row r="713" spans="7:10" ht="15.75" customHeight="1" x14ac:dyDescent="0.25">
      <c r="G713" s="5"/>
      <c r="H713" s="5"/>
      <c r="I713" s="5"/>
      <c r="J713" s="5"/>
    </row>
    <row r="714" spans="7:10" ht="15.75" customHeight="1" x14ac:dyDescent="0.25">
      <c r="G714" s="5"/>
      <c r="H714" s="5"/>
      <c r="I714" s="5"/>
      <c r="J714" s="5"/>
    </row>
    <row r="715" spans="7:10" ht="15.75" customHeight="1" x14ac:dyDescent="0.25">
      <c r="G715" s="5"/>
      <c r="H715" s="5"/>
      <c r="I715" s="5"/>
      <c r="J715" s="5"/>
    </row>
    <row r="716" spans="7:10" ht="15.75" customHeight="1" x14ac:dyDescent="0.25">
      <c r="G716" s="5"/>
      <c r="H716" s="5"/>
      <c r="I716" s="5"/>
      <c r="J716" s="5"/>
    </row>
    <row r="717" spans="7:10" ht="15.75" customHeight="1" x14ac:dyDescent="0.25">
      <c r="G717" s="5"/>
      <c r="H717" s="5"/>
      <c r="I717" s="5"/>
      <c r="J717" s="5"/>
    </row>
    <row r="718" spans="7:10" ht="15.75" customHeight="1" x14ac:dyDescent="0.25">
      <c r="G718" s="5"/>
      <c r="H718" s="5"/>
      <c r="I718" s="5"/>
      <c r="J718" s="5"/>
    </row>
    <row r="719" spans="7:10" ht="15.75" customHeight="1" x14ac:dyDescent="0.25">
      <c r="G719" s="5"/>
      <c r="H719" s="5"/>
      <c r="I719" s="5"/>
      <c r="J719" s="5"/>
    </row>
  </sheetData>
  <mergeCells count="1">
    <mergeCell ref="A10:B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622E-1549-4D90-AA8A-BF90159066FE}">
  <dimension ref="A1:J719"/>
  <sheetViews>
    <sheetView showGridLines="0" tabSelected="1" workbookViewId="0"/>
  </sheetViews>
  <sheetFormatPr defaultRowHeight="15.75" customHeight="1" x14ac:dyDescent="0.25"/>
  <cols>
    <col min="1" max="1" width="9.140625" style="6"/>
    <col min="2" max="4" width="9.140625" style="1"/>
    <col min="5" max="5" width="2.28515625" style="1" customWidth="1"/>
    <col min="6" max="10" width="9.140625" style="4"/>
    <col min="11" max="16384" width="9.140625" style="1"/>
  </cols>
  <sheetData>
    <row r="1" spans="1:10" s="6" customFormat="1" ht="21" customHeight="1" x14ac:dyDescent="0.25">
      <c r="B1" s="7" t="s">
        <v>1</v>
      </c>
      <c r="C1" s="7" t="s">
        <v>0</v>
      </c>
      <c r="D1" s="7" t="s">
        <v>6</v>
      </c>
      <c r="F1" s="7" t="s">
        <v>7</v>
      </c>
      <c r="G1" s="7" t="s">
        <v>0</v>
      </c>
      <c r="H1" s="7" t="s">
        <v>1</v>
      </c>
      <c r="I1" s="7" t="s">
        <v>2</v>
      </c>
      <c r="J1" s="7" t="s">
        <v>8</v>
      </c>
    </row>
    <row r="2" spans="1:10" ht="15.75" customHeight="1" x14ac:dyDescent="0.25">
      <c r="B2" s="2">
        <v>1</v>
      </c>
      <c r="C2" s="2">
        <v>0</v>
      </c>
      <c r="D2" s="2">
        <v>0</v>
      </c>
      <c r="F2" s="2">
        <v>0</v>
      </c>
      <c r="G2" s="3">
        <v>1</v>
      </c>
      <c r="H2" s="3">
        <v>0</v>
      </c>
      <c r="I2" s="3">
        <v>0</v>
      </c>
      <c r="J2" s="3">
        <f>1-I2</f>
        <v>1</v>
      </c>
    </row>
    <row r="3" spans="1:10" ht="15.75" customHeight="1" x14ac:dyDescent="0.25">
      <c r="F3" s="2">
        <v>1</v>
      </c>
      <c r="G3" s="3">
        <f t="shared" ref="G3:G66" si="0">(G2*$B$5)+(H2*$B$6)+(I2*$B$7)</f>
        <v>0.98009999999999997</v>
      </c>
      <c r="H3" s="3">
        <f t="shared" ref="H3:H66" si="1">(G2*$C$5)+(H2*$C$6)+(I2*$C$7)</f>
        <v>1.9800000000000002E-2</v>
      </c>
      <c r="I3" s="3">
        <f t="shared" ref="I3:I66" si="2">(G2*$D$5)+(H2*$D$6)+(I2*$D$7)</f>
        <v>1E-4</v>
      </c>
      <c r="J3" s="3">
        <f t="shared" ref="J3:J66" si="3">1-I3</f>
        <v>0.99990000000000001</v>
      </c>
    </row>
    <row r="4" spans="1:10" ht="20.25" x14ac:dyDescent="0.25">
      <c r="A4" s="8"/>
      <c r="B4" s="9" t="s">
        <v>3</v>
      </c>
      <c r="C4" s="9" t="s">
        <v>4</v>
      </c>
      <c r="D4" s="9" t="s">
        <v>5</v>
      </c>
      <c r="F4" s="2">
        <v>2</v>
      </c>
      <c r="G4" s="3">
        <f t="shared" si="0"/>
        <v>0.96098808999999996</v>
      </c>
      <c r="H4" s="3">
        <f t="shared" si="1"/>
        <v>3.8623819999999996E-2</v>
      </c>
      <c r="I4" s="3">
        <f t="shared" si="2"/>
        <v>3.8809000000000001E-4</v>
      </c>
      <c r="J4" s="3">
        <f t="shared" si="3"/>
        <v>0.99961191000000005</v>
      </c>
    </row>
    <row r="5" spans="1:10" ht="15.75" customHeight="1" x14ac:dyDescent="0.25">
      <c r="A5" s="7" t="s">
        <v>3</v>
      </c>
      <c r="B5" s="2">
        <f>(1-C9)^2</f>
        <v>0.98009999999999997</v>
      </c>
      <c r="C5" s="2">
        <f>(2*C9)*(1-C9)</f>
        <v>1.9800000000000002E-2</v>
      </c>
      <c r="D5" s="2">
        <f>C9^2</f>
        <v>1E-4</v>
      </c>
      <c r="F5" s="2">
        <v>3</v>
      </c>
      <c r="G5" s="3">
        <f t="shared" si="0"/>
        <v>0.94262933388100001</v>
      </c>
      <c r="H5" s="3">
        <f t="shared" si="1"/>
        <v>5.6523332237999997E-2</v>
      </c>
      <c r="I5" s="3">
        <f t="shared" si="2"/>
        <v>8.4733388099999998E-4</v>
      </c>
      <c r="J5" s="3">
        <f t="shared" si="3"/>
        <v>0.999152666119</v>
      </c>
    </row>
    <row r="6" spans="1:10" ht="15.75" customHeight="1" x14ac:dyDescent="0.25">
      <c r="A6" s="7" t="s">
        <v>4</v>
      </c>
      <c r="B6" s="2">
        <f>(1-C9)*C10</f>
        <v>1.9800000000000002E-2</v>
      </c>
      <c r="C6" s="2">
        <f>(C9*C10)+((1-C9)*(1-C10))</f>
        <v>0.97039999999999993</v>
      </c>
      <c r="D6" s="2">
        <f>C9*(1-C10)</f>
        <v>9.7999999999999997E-3</v>
      </c>
      <c r="F6" s="2">
        <v>4</v>
      </c>
      <c r="G6" s="3">
        <f t="shared" si="0"/>
        <v>0.92499051104863295</v>
      </c>
      <c r="H6" s="3">
        <f t="shared" si="1"/>
        <v>7.35475179027342E-2</v>
      </c>
      <c r="I6" s="3">
        <f t="shared" si="2"/>
        <v>1.4619710486328999E-3</v>
      </c>
      <c r="J6" s="3">
        <f t="shared" si="3"/>
        <v>0.99853802895136712</v>
      </c>
    </row>
    <row r="7" spans="1:10" ht="15.75" customHeight="1" x14ac:dyDescent="0.25">
      <c r="A7" s="7" t="s">
        <v>5</v>
      </c>
      <c r="B7" s="2">
        <f>C10^2</f>
        <v>4.0000000000000002E-4</v>
      </c>
      <c r="C7" s="2">
        <f>(2*C10)*(1-C10)</f>
        <v>3.9199999999999999E-2</v>
      </c>
      <c r="D7" s="2">
        <f>(1-C10)^2</f>
        <v>0.96039999999999992</v>
      </c>
      <c r="F7" s="2">
        <v>5</v>
      </c>
      <c r="G7" s="3">
        <f t="shared" si="0"/>
        <v>0.90804002552165874</v>
      </c>
      <c r="H7" s="3">
        <f t="shared" si="1"/>
        <v>8.9742632756682608E-2</v>
      </c>
      <c r="I7" s="3">
        <f t="shared" si="2"/>
        <v>2.2173417216586953E-3</v>
      </c>
      <c r="J7" s="3">
        <f t="shared" si="3"/>
        <v>0.99778265827834134</v>
      </c>
    </row>
    <row r="8" spans="1:10" ht="15.75" customHeight="1" x14ac:dyDescent="0.25">
      <c r="F8" s="2">
        <v>6</v>
      </c>
      <c r="G8" s="3">
        <f t="shared" si="0"/>
        <v>0.89174782007904874</v>
      </c>
      <c r="H8" s="3">
        <f t="shared" si="1"/>
        <v>0.10515236312790266</v>
      </c>
      <c r="I8" s="3">
        <f t="shared" si="2"/>
        <v>3.0998167930486663E-3</v>
      </c>
      <c r="J8" s="3">
        <f t="shared" si="3"/>
        <v>0.99690018320695128</v>
      </c>
    </row>
    <row r="9" spans="1:10" ht="15.75" customHeight="1" x14ac:dyDescent="0.25">
      <c r="A9" s="10" t="s">
        <v>9</v>
      </c>
      <c r="B9" s="11"/>
      <c r="C9" s="2">
        <v>0.01</v>
      </c>
      <c r="F9" s="2">
        <v>7</v>
      </c>
      <c r="G9" s="3">
        <f t="shared" si="0"/>
        <v>0.87608529517612532</v>
      </c>
      <c r="H9" s="3">
        <f t="shared" si="1"/>
        <v>0.1198179728351694</v>
      </c>
      <c r="I9" s="3">
        <f t="shared" si="2"/>
        <v>4.0967319887052897E-3</v>
      </c>
      <c r="J9" s="3">
        <f t="shared" si="3"/>
        <v>0.9959032680112947</v>
      </c>
    </row>
    <row r="10" spans="1:10" ht="15.75" customHeight="1" x14ac:dyDescent="0.25">
      <c r="A10" s="10" t="s">
        <v>10</v>
      </c>
      <c r="B10" s="11"/>
      <c r="C10" s="2">
        <v>0.02</v>
      </c>
      <c r="F10" s="2">
        <v>8</v>
      </c>
      <c r="G10" s="3">
        <f t="shared" si="0"/>
        <v>0.86102523235705219</v>
      </c>
      <c r="H10" s="3">
        <f t="shared" si="1"/>
        <v>0.13377844157769292</v>
      </c>
      <c r="I10" s="3">
        <f t="shared" si="2"/>
        <v>5.1963260652548322E-3</v>
      </c>
      <c r="J10" s="3">
        <f t="shared" si="3"/>
        <v>0.99480367393474511</v>
      </c>
    </row>
    <row r="11" spans="1:10" ht="15.75" customHeight="1" x14ac:dyDescent="0.25">
      <c r="F11" s="2">
        <v>9</v>
      </c>
      <c r="G11" s="3">
        <f t="shared" si="0"/>
        <v>0.84654172190681121</v>
      </c>
      <c r="H11" s="3">
        <f t="shared" si="1"/>
        <v>0.14707059528942082</v>
      </c>
      <c r="I11" s="3">
        <f t="shared" si="2"/>
        <v>6.3876828037678357E-3</v>
      </c>
      <c r="J11" s="3">
        <f t="shared" si="3"/>
        <v>0.99361231719623211</v>
      </c>
    </row>
    <row r="12" spans="1:10" ht="15.75" customHeight="1" x14ac:dyDescent="0.25">
      <c r="F12" s="2">
        <v>10</v>
      </c>
      <c r="G12" s="3">
        <f t="shared" si="0"/>
        <v>0.83261009450071777</v>
      </c>
      <c r="H12" s="3">
        <f t="shared" si="1"/>
        <v>0.15972922892851651</v>
      </c>
      <c r="I12" s="3">
        <f t="shared" si="2"/>
        <v>7.6606765707656344E-3</v>
      </c>
      <c r="J12" s="3">
        <f t="shared" si="3"/>
        <v>0.99233932342923437</v>
      </c>
    </row>
    <row r="13" spans="1:10" ht="15.75" customHeight="1" x14ac:dyDescent="0.25">
      <c r="F13" s="2">
        <v>11</v>
      </c>
      <c r="G13" s="3">
        <f t="shared" si="0"/>
        <v>0.81920685662356652</v>
      </c>
      <c r="H13" s="3">
        <f t="shared" si="1"/>
        <v>0.17178722214492065</v>
      </c>
      <c r="I13" s="3">
        <f t="shared" si="2"/>
        <v>9.0059212315128472E-3</v>
      </c>
      <c r="J13" s="3">
        <f t="shared" si="3"/>
        <v>0.99099407876848711</v>
      </c>
    </row>
    <row r="14" spans="1:10" ht="15.75" customHeight="1" x14ac:dyDescent="0.25">
      <c r="F14" s="2">
        <v>12</v>
      </c>
      <c r="G14" s="3">
        <f t="shared" si="0"/>
        <v>0.80630962954371965</v>
      </c>
      <c r="H14" s="3">
        <f t="shared" si="1"/>
        <v>0.18327564824285289</v>
      </c>
      <c r="I14" s="3">
        <f t="shared" si="2"/>
        <v>1.0414722213427517E-2</v>
      </c>
      <c r="J14" s="3">
        <f t="shared" si="3"/>
        <v>0.98958527778657246</v>
      </c>
    </row>
    <row r="15" spans="1:10" ht="15.75" customHeight="1" x14ac:dyDescent="0.25">
      <c r="F15" s="2">
        <v>13</v>
      </c>
      <c r="G15" s="3">
        <f t="shared" si="0"/>
        <v>0.79389709163989353</v>
      </c>
      <c r="H15" s="3">
        <f t="shared" si="1"/>
        <v>0.19422387683059644</v>
      </c>
      <c r="I15" s="3">
        <f t="shared" si="2"/>
        <v>1.1879031529510116E-2</v>
      </c>
      <c r="J15" s="3">
        <f t="shared" si="3"/>
        <v>0.98812096847048991</v>
      </c>
    </row>
    <row r="16" spans="1:10" ht="15.75" customHeight="1" x14ac:dyDescent="0.25">
      <c r="F16" s="2">
        <v>14</v>
      </c>
      <c r="G16" s="3">
        <f t="shared" si="0"/>
        <v>0.78194892389011728</v>
      </c>
      <c r="H16" s="3">
        <f t="shared" si="1"/>
        <v>0.20465967052683745</v>
      </c>
      <c r="I16" s="3">
        <f t="shared" si="2"/>
        <v>1.339140558304535E-2</v>
      </c>
      <c r="J16" s="3">
        <f t="shared" si="3"/>
        <v>0.9866085944169547</v>
      </c>
    </row>
    <row r="17" spans="6:10" ht="15.75" customHeight="1" x14ac:dyDescent="0.25">
      <c r="F17" s="2">
        <v>15</v>
      </c>
      <c r="G17" s="3">
        <f t="shared" si="0"/>
        <v>0.77044575834336848</v>
      </c>
      <c r="H17" s="3">
        <f t="shared" si="1"/>
        <v>0.21460927607112273</v>
      </c>
      <c r="I17" s="3">
        <f t="shared" si="2"/>
        <v>1.4944965585508773E-2</v>
      </c>
      <c r="J17" s="3">
        <f t="shared" si="3"/>
        <v>0.98505503441449127</v>
      </c>
    </row>
    <row r="18" spans="6:10" ht="15.75" customHeight="1" x14ac:dyDescent="0.25">
      <c r="F18" s="2">
        <v>16</v>
      </c>
      <c r="G18" s="3">
        <f t="shared" si="0"/>
        <v>0.75936912940477796</v>
      </c>
      <c r="H18" s="3">
        <f t="shared" si="1"/>
        <v>0.22409751016556811</v>
      </c>
      <c r="I18" s="3">
        <f t="shared" si="2"/>
        <v>1.6533360429653962E-2</v>
      </c>
      <c r="J18" s="3">
        <f t="shared" si="3"/>
        <v>0.98346663957034608</v>
      </c>
    </row>
    <row r="19" spans="6:10" ht="15.75" customHeight="1" x14ac:dyDescent="0.25">
      <c r="F19" s="2">
        <v>17</v>
      </c>
      <c r="G19" s="3">
        <f t="shared" si="0"/>
        <v>0.74870142777507298</v>
      </c>
      <c r="H19" s="3">
        <f t="shared" si="1"/>
        <v>0.23314784035572433</v>
      </c>
      <c r="I19" s="3">
        <f t="shared" si="2"/>
        <v>1.8150731869202706E-2</v>
      </c>
      <c r="J19" s="3">
        <f t="shared" si="3"/>
        <v>0.98184926813079731</v>
      </c>
    </row>
    <row r="20" spans="6:10" ht="15.75" customHeight="1" x14ac:dyDescent="0.25">
      <c r="F20" s="2">
        <v>18</v>
      </c>
      <c r="G20" s="3">
        <f t="shared" si="0"/>
        <v>0.73842585689414009</v>
      </c>
      <c r="H20" s="3">
        <f t="shared" si="1"/>
        <v>0.24178246124041408</v>
      </c>
      <c r="I20" s="3">
        <f t="shared" si="2"/>
        <v>1.9791681865445884E-2</v>
      </c>
      <c r="J20" s="3">
        <f t="shared" si="3"/>
        <v>0.98020831813455411</v>
      </c>
    </row>
    <row r="21" spans="6:10" ht="15.75" customHeight="1" x14ac:dyDescent="0.25">
      <c r="F21" s="2">
        <v>19</v>
      </c>
      <c r="G21" s="3">
        <f t="shared" si="0"/>
        <v>0.72852639174725298</v>
      </c>
      <c r="H21" s="3">
        <f t="shared" si="1"/>
        <v>0.2500223662833273</v>
      </c>
      <c r="I21" s="3">
        <f t="shared" si="2"/>
        <v>2.1451241969419697E-2</v>
      </c>
      <c r="J21" s="3">
        <f t="shared" si="3"/>
        <v>0.97854875803058028</v>
      </c>
    </row>
    <row r="22" spans="6:10" ht="15.75" customHeight="1" x14ac:dyDescent="0.25">
      <c r="F22" s="2">
        <v>20</v>
      </c>
      <c r="G22" s="3">
        <f t="shared" si="0"/>
        <v>0.71898773990068021</v>
      </c>
      <c r="H22" s="3">
        <f t="shared" si="1"/>
        <v>0.25788741548313771</v>
      </c>
      <c r="I22" s="3">
        <f t="shared" si="2"/>
        <v>2.3124844616182007E-2</v>
      </c>
      <c r="J22" s="3">
        <f t="shared" si="3"/>
        <v>0.97687515538381797</v>
      </c>
    </row>
    <row r="23" spans="6:10" ht="15.75" customHeight="1" x14ac:dyDescent="0.25">
      <c r="F23" s="2">
        <v>21</v>
      </c>
      <c r="G23" s="3">
        <f t="shared" si="0"/>
        <v>0.70979530464106932</v>
      </c>
      <c r="H23" s="3">
        <f t="shared" si="1"/>
        <v>0.26539639914382457</v>
      </c>
      <c r="I23" s="3">
        <f t="shared" si="2"/>
        <v>2.4808296215106013E-2</v>
      </c>
      <c r="J23" s="3">
        <f t="shared" si="3"/>
        <v>0.97519170378489395</v>
      </c>
    </row>
    <row r="24" spans="6:10" ht="15.75" customHeight="1" x14ac:dyDescent="0.25">
      <c r="F24" s="2">
        <v>22</v>
      </c>
      <c r="G24" s="3">
        <f t="shared" si="0"/>
        <v>0.70093515010024576</v>
      </c>
      <c r="H24" s="3">
        <f t="shared" si="1"/>
        <v>0.27256709797269268</v>
      </c>
      <c r="I24" s="3">
        <f t="shared" si="2"/>
        <v>2.64977519270614E-2</v>
      </c>
      <c r="J24" s="3">
        <f t="shared" si="3"/>
        <v>0.97350224807293861</v>
      </c>
    </row>
    <row r="25" spans="6:10" ht="15.75" customHeight="1" x14ac:dyDescent="0.25">
      <c r="F25" s="2">
        <v>23</v>
      </c>
      <c r="G25" s="3">
        <f t="shared" si="0"/>
        <v>0.692393968253881</v>
      </c>
      <c r="H25" s="3">
        <f t="shared" si="1"/>
        <v>0.27941633972022667</v>
      </c>
      <c r="I25" s="3">
        <f t="shared" si="2"/>
        <v>2.818969202589218E-2</v>
      </c>
      <c r="J25" s="3">
        <f t="shared" si="3"/>
        <v>0.97181030797410783</v>
      </c>
    </row>
    <row r="26" spans="6:10" ht="15.75" customHeight="1" x14ac:dyDescent="0.25">
      <c r="F26" s="2">
        <v>24</v>
      </c>
      <c r="G26" s="3">
        <f t="shared" si="0"/>
        <v>0.68415904768889968</v>
      </c>
      <c r="H26" s="3">
        <f t="shared" si="1"/>
        <v>0.28596005256334972</v>
      </c>
      <c r="I26" s="3">
        <f t="shared" si="2"/>
        <v>2.9880899747750454E-2</v>
      </c>
      <c r="J26" s="3">
        <f t="shared" si="3"/>
        <v>0.97011910025224957</v>
      </c>
    </row>
    <row r="27" spans="6:10" ht="15.75" customHeight="1" x14ac:dyDescent="0.25">
      <c r="F27" s="2">
        <v>25</v>
      </c>
      <c r="G27" s="3">
        <f t="shared" si="0"/>
        <v>0.67621824404054398</v>
      </c>
      <c r="H27" s="3">
        <f t="shared" si="1"/>
        <v>0.29221331542182655</v>
      </c>
      <c r="I27" s="3">
        <f t="shared" si="2"/>
        <v>3.156844053762925E-2</v>
      </c>
      <c r="J27" s="3">
        <f t="shared" si="3"/>
        <v>0.96843155946237069</v>
      </c>
    </row>
    <row r="28" spans="6:10" ht="15.75" customHeight="1" x14ac:dyDescent="0.25">
      <c r="F28" s="2">
        <v>26</v>
      </c>
      <c r="G28" s="3">
        <f t="shared" si="0"/>
        <v>0.66855995200570439</v>
      </c>
      <c r="H28" s="3">
        <f t="shared" si="1"/>
        <v>0.29819040538641828</v>
      </c>
      <c r="I28" s="3">
        <f t="shared" si="2"/>
        <v>3.3249642607877085E-2</v>
      </c>
      <c r="J28" s="3">
        <f t="shared" si="3"/>
        <v>0.96675035739212289</v>
      </c>
    </row>
    <row r="29" spans="6:10" ht="15.75" customHeight="1" x14ac:dyDescent="0.25">
      <c r="F29" s="2">
        <v>27</v>
      </c>
      <c r="G29" s="3">
        <f t="shared" si="0"/>
        <v>0.66117307884448506</v>
      </c>
      <c r="H29" s="3">
        <f t="shared" si="1"/>
        <v>0.30390484242692201</v>
      </c>
      <c r="I29" s="3">
        <f t="shared" si="2"/>
        <v>3.4922078728592619E-2</v>
      </c>
      <c r="J29" s="3">
        <f t="shared" si="3"/>
        <v>0.96507792127140735</v>
      </c>
    </row>
    <row r="30" spans="6:10" ht="15.75" customHeight="1" x14ac:dyDescent="0.25">
      <c r="F30" s="2">
        <v>28</v>
      </c>
      <c r="G30" s="3">
        <f t="shared" si="0"/>
        <v>0.65404701928702424</v>
      </c>
      <c r="H30" s="3">
        <f t="shared" si="1"/>
        <v>0.30936943153836677</v>
      </c>
      <c r="I30" s="3">
        <f t="shared" si="2"/>
        <v>3.6583549174608633E-2</v>
      </c>
      <c r="J30" s="3">
        <f t="shared" si="3"/>
        <v>0.9634164508253914</v>
      </c>
    </row>
    <row r="31" spans="6:10" ht="15.75" customHeight="1" x14ac:dyDescent="0.25">
      <c r="F31" s="2">
        <v>29</v>
      </c>
      <c r="G31" s="3">
        <f t="shared" si="0"/>
        <v>0.64717163176734205</v>
      </c>
      <c r="H31" s="3">
        <f t="shared" si="1"/>
        <v>0.31459630247435882</v>
      </c>
      <c r="I31" s="3">
        <f t="shared" si="2"/>
        <v>3.8232065758298822E-2</v>
      </c>
      <c r="J31" s="3">
        <f t="shared" si="3"/>
        <v>0.96176793424170115</v>
      </c>
    </row>
    <row r="32" spans="6:10" ht="15.75" customHeight="1" x14ac:dyDescent="0.25">
      <c r="F32" s="2">
        <v>30</v>
      </c>
      <c r="G32" s="3">
        <f t="shared" si="0"/>
        <v>0.64053721591046753</v>
      </c>
      <c r="H32" s="3">
        <f t="shared" si="1"/>
        <v>0.31959694720783649</v>
      </c>
      <c r="I32" s="3">
        <f t="shared" si="2"/>
        <v>3.9865836881695635E-2</v>
      </c>
      <c r="J32" s="3">
        <f t="shared" si="3"/>
        <v>0.96013416311830435</v>
      </c>
    </row>
    <row r="33" spans="6:10" ht="15.75" customHeight="1" x14ac:dyDescent="0.25">
      <c r="F33" s="2">
        <v>31</v>
      </c>
      <c r="G33" s="3">
        <f t="shared" si="0"/>
        <v>0.634134491203317</v>
      </c>
      <c r="H33" s="3">
        <f t="shared" si="1"/>
        <v>0.32438225525127423</v>
      </c>
      <c r="I33" s="3">
        <f t="shared" si="2"/>
        <v>4.1483253545408327E-2</v>
      </c>
      <c r="J33" s="3">
        <f t="shared" si="3"/>
        <v>0.95851674645459162</v>
      </c>
    </row>
    <row r="34" spans="6:10" ht="15.75" customHeight="1" x14ac:dyDescent="0.25">
      <c r="F34" s="2">
        <v>32</v>
      </c>
      <c r="G34" s="3">
        <f t="shared" si="0"/>
        <v>0.62795457678376432</v>
      </c>
      <c r="H34" s="3">
        <f t="shared" si="1"/>
        <v>0.32896254696064214</v>
      </c>
      <c r="I34" s="3">
        <f t="shared" si="2"/>
        <v>4.308287625559297E-2</v>
      </c>
      <c r="J34" s="3">
        <f t="shared" si="3"/>
        <v>0.95691712374440707</v>
      </c>
    </row>
    <row r="35" spans="6:10" ht="15.75" customHeight="1" x14ac:dyDescent="0.25">
      <c r="F35" s="2">
        <v>33</v>
      </c>
      <c r="G35" s="3">
        <f t="shared" si="0"/>
        <v>0.6219889722860904</v>
      </c>
      <c r="H35" s="3">
        <f t="shared" si="1"/>
        <v>0.33334760494014493</v>
      </c>
      <c r="I35" s="3">
        <f t="shared" si="2"/>
        <v>4.4663422773764158E-2</v>
      </c>
      <c r="J35" s="3">
        <f t="shared" si="3"/>
        <v>0.95533657722623588</v>
      </c>
    </row>
    <row r="36" spans="6:10" ht="15.75" customHeight="1" x14ac:dyDescent="0.25">
      <c r="F36" s="2">
        <v>34</v>
      </c>
      <c r="G36" s="3">
        <f t="shared" si="0"/>
        <v>0.61622953968452154</v>
      </c>
      <c r="H36" s="3">
        <f t="shared" si="1"/>
        <v>0.33754670365791278</v>
      </c>
      <c r="I36" s="3">
        <f t="shared" si="2"/>
        <v>4.6223756657565125E-2</v>
      </c>
      <c r="J36" s="3">
        <f t="shared" si="3"/>
        <v>0.95377624334243483</v>
      </c>
    </row>
    <row r="37" spans="6:10" ht="15.75" customHeight="1" x14ac:dyDescent="0.25">
      <c r="F37" s="2">
        <v>35</v>
      </c>
      <c r="G37" s="3">
        <f t="shared" si="0"/>
        <v>0.61066848607988922</v>
      </c>
      <c r="H37" s="3">
        <f t="shared" si="1"/>
        <v>0.34156863737636861</v>
      </c>
      <c r="I37" s="3">
        <f t="shared" si="2"/>
        <v>4.7762876543741541E-2</v>
      </c>
      <c r="J37" s="3">
        <f t="shared" si="3"/>
        <v>0.95223712345625844</v>
      </c>
    </row>
    <row r="38" spans="6:10" ht="15.75" customHeight="1" x14ac:dyDescent="0.25">
      <c r="F38" s="2">
        <v>36</v>
      </c>
      <c r="G38" s="3">
        <f t="shared" si="0"/>
        <v>0.60529834737756905</v>
      </c>
      <c r="H38" s="3">
        <f t="shared" si="1"/>
        <v>0.34542174649492458</v>
      </c>
      <c r="I38" s="3">
        <f t="shared" si="2"/>
        <v>4.9279906127505775E-2</v>
      </c>
      <c r="J38" s="3">
        <f t="shared" si="3"/>
        <v>0.95072009387249423</v>
      </c>
    </row>
    <row r="39" spans="6:10" ht="15.75" customHeight="1" x14ac:dyDescent="0.25">
      <c r="F39" s="2">
        <v>37</v>
      </c>
      <c r="G39" s="3">
        <f t="shared" si="0"/>
        <v>0.60011197280780582</v>
      </c>
      <c r="H39" s="3">
        <f t="shared" si="1"/>
        <v>0.34911394239694887</v>
      </c>
      <c r="I39" s="3">
        <f t="shared" si="2"/>
        <v>5.0774084795244562E-2</v>
      </c>
      <c r="J39" s="3">
        <f t="shared" si="3"/>
        <v>0.94922591520475541</v>
      </c>
    </row>
    <row r="40" spans="6:10" ht="15.75" customHeight="1" x14ac:dyDescent="0.25">
      <c r="F40" s="2">
        <v>38</v>
      </c>
      <c r="G40" s="3">
        <f t="shared" si="0"/>
        <v>0.59510251024230809</v>
      </c>
      <c r="H40" s="3">
        <f t="shared" si="1"/>
        <v>0.35265273088756727</v>
      </c>
      <c r="I40" s="3">
        <f t="shared" si="2"/>
        <v>5.2244758870123753E-2</v>
      </c>
      <c r="J40" s="3">
        <f t="shared" si="3"/>
        <v>0.94775524112987619</v>
      </c>
    </row>
    <row r="41" spans="6:10" ht="15.75" customHeight="1" x14ac:dyDescent="0.25">
      <c r="F41" s="2">
        <v>39</v>
      </c>
      <c r="G41" s="3">
        <f t="shared" si="0"/>
        <v>0.59026339226360813</v>
      </c>
      <c r="H41" s="3">
        <f t="shared" si="1"/>
        <v>0.35604523430380186</v>
      </c>
      <c r="I41" s="3">
        <f t="shared" si="2"/>
        <v>5.3691373432589243E-2</v>
      </c>
      <c r="J41" s="3">
        <f t="shared" si="3"/>
        <v>0.94630862656741077</v>
      </c>
    </row>
    <row r="42" spans="6:10" ht="15.75" customHeight="1" x14ac:dyDescent="0.25">
      <c r="F42" s="2">
        <v>40</v>
      </c>
      <c r="G42" s="3">
        <f t="shared" si="0"/>
        <v>0.5855883229461506</v>
      </c>
      <c r="H42" s="3">
        <f t="shared" si="1"/>
        <v>0.35929821237378623</v>
      </c>
      <c r="I42" s="3">
        <f t="shared" si="2"/>
        <v>5.511346468006232E-2</v>
      </c>
      <c r="J42" s="3">
        <f t="shared" si="3"/>
        <v>0.94488653531993771</v>
      </c>
    </row>
    <row r="43" spans="6:10" ht="15.75" customHeight="1" x14ac:dyDescent="0.25">
      <c r="F43" s="2">
        <v>41</v>
      </c>
      <c r="G43" s="3">
        <f t="shared" si="0"/>
        <v>0.58107126531039521</v>
      </c>
      <c r="H43" s="3">
        <f t="shared" si="1"/>
        <v>0.36241808189731439</v>
      </c>
      <c r="I43" s="3">
        <f t="shared" si="2"/>
        <v>5.6510652792289569E-2</v>
      </c>
      <c r="J43" s="3">
        <f t="shared" si="3"/>
        <v>0.94348934720771038</v>
      </c>
    </row>
    <row r="44" spans="6:10" ht="15.75" customHeight="1" x14ac:dyDescent="0.25">
      <c r="F44" s="2">
        <v>42</v>
      </c>
      <c r="G44" s="3">
        <f t="shared" si="0"/>
        <v>0.576706429413402</v>
      </c>
      <c r="H44" s="3">
        <f t="shared" si="1"/>
        <v>0.36541093531575747</v>
      </c>
      <c r="I44" s="3">
        <f t="shared" si="2"/>
        <v>5.7882635270839616E-2</v>
      </c>
      <c r="J44" s="3">
        <f t="shared" si="3"/>
        <v>0.94211736472916041</v>
      </c>
    </row>
    <row r="45" spans="6:10" ht="15.75" customHeight="1" x14ac:dyDescent="0.25">
      <c r="F45" s="2">
        <v>43</v>
      </c>
      <c r="G45" s="3">
        <f t="shared" si="0"/>
        <v>0.57248826104143569</v>
      </c>
      <c r="H45" s="3">
        <f t="shared" si="1"/>
        <v>0.36828255823541334</v>
      </c>
      <c r="I45" s="3">
        <f t="shared" si="2"/>
        <v>5.9229180723150129E-2</v>
      </c>
      <c r="J45" s="3">
        <f t="shared" si="3"/>
        <v>0.94077081927684991</v>
      </c>
    </row>
    <row r="46" spans="6:10" ht="15.75" customHeight="1" x14ac:dyDescent="0.25">
      <c r="F46" s="2">
        <v>44</v>
      </c>
      <c r="G46" s="3">
        <f t="shared" si="0"/>
        <v>0.56841143097206148</v>
      </c>
      <c r="H46" s="3">
        <f t="shared" si="1"/>
        <v>0.371038445964613</v>
      </c>
      <c r="I46" s="3">
        <f t="shared" si="2"/>
        <v>6.0550123063324572E-2</v>
      </c>
      <c r="J46" s="3">
        <f t="shared" si="3"/>
        <v>0.93944987693667548</v>
      </c>
    </row>
    <row r="47" spans="6:10" ht="15.75" customHeight="1" x14ac:dyDescent="0.25">
      <c r="F47" s="2">
        <v>45</v>
      </c>
      <c r="G47" s="3">
        <f t="shared" si="0"/>
        <v>0.56447082477504207</v>
      </c>
      <c r="H47" s="3">
        <f t="shared" si="1"/>
        <v>0.37368381912138954</v>
      </c>
      <c r="I47" s="3">
        <f t="shared" si="2"/>
        <v>6.1845356103567332E-2</v>
      </c>
      <c r="J47" s="3">
        <f t="shared" si="3"/>
        <v>0.93815464389643266</v>
      </c>
    </row>
    <row r="48" spans="6:10" ht="15.75" customHeight="1" x14ac:dyDescent="0.25">
      <c r="F48" s="2">
        <v>46</v>
      </c>
      <c r="G48" s="3">
        <f t="shared" si="0"/>
        <v>0.56066153312306366</v>
      </c>
      <c r="H48" s="3">
        <f t="shared" si="1"/>
        <v>0.37622363836520206</v>
      </c>
      <c r="I48" s="3">
        <f t="shared" si="2"/>
        <v>6.3114828511733181E-2</v>
      </c>
      <c r="J48" s="3">
        <f t="shared" si="3"/>
        <v>0.93688517148826678</v>
      </c>
    </row>
    <row r="49" spans="6:10" ht="15.75" customHeight="1" x14ac:dyDescent="0.25">
      <c r="F49" s="2">
        <v>47</v>
      </c>
      <c r="G49" s="3">
        <f t="shared" si="0"/>
        <v>0.55697884258495045</v>
      </c>
      <c r="H49" s="3">
        <f t="shared" si="1"/>
        <v>0.37866261830308867</v>
      </c>
      <c r="I49" s="3">
        <f t="shared" si="2"/>
        <v>6.4358539111959823E-2</v>
      </c>
      <c r="J49" s="3">
        <f t="shared" si="3"/>
        <v>0.93564146088804012</v>
      </c>
    </row>
    <row r="50" spans="6:10" ht="15.75" customHeight="1" x14ac:dyDescent="0.25">
      <c r="F50" s="2">
        <v>48</v>
      </c>
      <c r="G50" s="3">
        <f t="shared" si="0"/>
        <v>0.55341822687555575</v>
      </c>
      <c r="H50" s="3">
        <f t="shared" si="1"/>
        <v>0.38100524061768809</v>
      </c>
      <c r="I50" s="3">
        <f t="shared" si="2"/>
        <v>6.5576532506754978E-2</v>
      </c>
      <c r="J50" s="3">
        <f t="shared" si="3"/>
        <v>0.93442346749324501</v>
      </c>
    </row>
    <row r="51" spans="6:10" ht="15.75" customHeight="1" x14ac:dyDescent="0.25">
      <c r="F51" s="2">
        <v>49</v>
      </c>
      <c r="G51" s="3">
        <f t="shared" si="0"/>
        <v>0.54997533853796499</v>
      </c>
      <c r="H51" s="3">
        <f t="shared" si="1"/>
        <v>0.38325576646180531</v>
      </c>
      <c r="I51" s="3">
        <f t="shared" si="2"/>
        <v>6.6768895000228382E-2</v>
      </c>
      <c r="J51" s="3">
        <f t="shared" si="3"/>
        <v>0.93323110499977158</v>
      </c>
    </row>
    <row r="52" spans="6:10" ht="15.75" customHeight="1" x14ac:dyDescent="0.25">
      <c r="F52" s="2">
        <v>50</v>
      </c>
      <c r="G52" s="3">
        <f t="shared" si="0"/>
        <v>0.54664600103500327</v>
      </c>
      <c r="H52" s="3">
        <f t="shared" si="1"/>
        <v>0.38541824816159648</v>
      </c>
      <c r="I52" s="3">
        <f t="shared" si="2"/>
        <v>6.7935750803398823E-2</v>
      </c>
      <c r="J52" s="3">
        <f t="shared" si="3"/>
        <v>0.93206424919660114</v>
      </c>
    </row>
    <row r="53" spans="6:10" ht="15.75" customHeight="1" x14ac:dyDescent="0.25">
      <c r="F53" s="2">
        <v>51</v>
      </c>
      <c r="G53" s="3">
        <f t="shared" si="0"/>
        <v>0.54342620122832763</v>
      </c>
      <c r="H53" s="3">
        <f t="shared" si="1"/>
        <v>0.38749654026799951</v>
      </c>
      <c r="I53" s="3">
        <f t="shared" si="2"/>
        <v>6.9077258503671371E-2</v>
      </c>
      <c r="J53" s="3">
        <f t="shared" si="3"/>
        <v>0.93092274149632859</v>
      </c>
    </row>
    <row r="54" spans="6:10" ht="15.75" customHeight="1" x14ac:dyDescent="0.25">
      <c r="F54" s="2">
        <v>52</v>
      </c>
      <c r="G54" s="3">
        <f t="shared" si="0"/>
        <v>0.54031208222459171</v>
      </c>
      <c r="H54" s="3">
        <f t="shared" si="1"/>
        <v>0.38949430999373152</v>
      </c>
      <c r="I54" s="3">
        <f t="shared" si="2"/>
        <v>7.0193607781675216E-2</v>
      </c>
      <c r="J54" s="3">
        <f t="shared" si="3"/>
        <v>0.92980639221832484</v>
      </c>
    </row>
    <row r="55" spans="6:10" ht="15.75" customHeight="1" x14ac:dyDescent="0.25">
      <c r="F55" s="2">
        <v>53</v>
      </c>
      <c r="G55" s="3">
        <f t="shared" si="0"/>
        <v>0.53729993656931085</v>
      </c>
      <c r="H55" s="3">
        <f t="shared" si="1"/>
        <v>0.39141504707100566</v>
      </c>
      <c r="I55" s="3">
        <f t="shared" si="2"/>
        <v>7.1285016359681902E-2</v>
      </c>
      <c r="J55" s="3">
        <f t="shared" si="3"/>
        <v>0.92871498364031813</v>
      </c>
    </row>
    <row r="56" spans="6:10" ht="15.75" customHeight="1" x14ac:dyDescent="0.25">
      <c r="F56" s="2">
        <v>54</v>
      </c>
      <c r="G56" s="3">
        <f t="shared" si="0"/>
        <v>0.53438619977013135</v>
      </c>
      <c r="H56" s="3">
        <f t="shared" si="1"/>
        <v>0.3932620730630757</v>
      </c>
      <c r="I56" s="3">
        <f t="shared" si="2"/>
        <v>7.235172716679128E-2</v>
      </c>
      <c r="J56" s="3">
        <f t="shared" si="3"/>
        <v>0.92764827283320872</v>
      </c>
    </row>
    <row r="57" spans="6:10" ht="15.75" customHeight="1" x14ac:dyDescent="0.25">
      <c r="F57" s="2">
        <v>55</v>
      </c>
      <c r="G57" s="3">
        <f t="shared" si="0"/>
        <v>0.53156744413222123</v>
      </c>
      <c r="H57" s="3">
        <f t="shared" si="1"/>
        <v>0.39503855016079548</v>
      </c>
      <c r="I57" s="3">
        <f t="shared" si="2"/>
        <v>7.3394005706981499E-2</v>
      </c>
      <c r="J57" s="3">
        <f t="shared" si="3"/>
        <v>0.92660599429301849</v>
      </c>
    </row>
    <row r="58" spans="6:10" ht="15.75" customHeight="1" x14ac:dyDescent="0.25">
      <c r="F58" s="2">
        <v>56</v>
      </c>
      <c r="G58" s="3">
        <f t="shared" si="0"/>
        <v>0.52884037288945662</v>
      </c>
      <c r="H58" s="3">
        <f t="shared" si="1"/>
        <v>0.39674748949356758</v>
      </c>
      <c r="I58" s="3">
        <f t="shared" si="2"/>
        <v>7.4412137616974044E-2</v>
      </c>
      <c r="J58" s="3">
        <f t="shared" si="3"/>
        <v>0.92558786238302593</v>
      </c>
    </row>
    <row r="59" spans="6:10" ht="15.75" customHeight="1" x14ac:dyDescent="0.25">
      <c r="F59" s="2">
        <v>57</v>
      </c>
      <c r="G59" s="3">
        <f t="shared" si="0"/>
        <v>0.52620181461597582</v>
      </c>
      <c r="H59" s="3">
        <f t="shared" si="1"/>
        <v>0.39839175898235463</v>
      </c>
      <c r="I59" s="3">
        <f t="shared" si="2"/>
        <v>7.5406426401667767E-2</v>
      </c>
      <c r="J59" s="3">
        <f t="shared" si="3"/>
        <v>0.92459357359833227</v>
      </c>
    </row>
    <row r="60" spans="6:10" ht="15.75" customHeight="1" x14ac:dyDescent="0.25">
      <c r="F60" s="2">
        <v>58</v>
      </c>
      <c r="G60" s="3">
        <f t="shared" si="0"/>
        <v>0.52364871790352918</v>
      </c>
      <c r="H60" s="3">
        <f t="shared" si="1"/>
        <v>0.39997409076081858</v>
      </c>
      <c r="I60" s="3">
        <f t="shared" si="2"/>
        <v>7.6377191335650393E-2</v>
      </c>
      <c r="J60" s="3">
        <f t="shared" si="3"/>
        <v>0.92362280866434965</v>
      </c>
    </row>
    <row r="61" spans="6:10" ht="15.75" customHeight="1" x14ac:dyDescent="0.25">
      <c r="F61" s="2">
        <v>59</v>
      </c>
      <c r="G61" s="3">
        <f t="shared" si="0"/>
        <v>0.52117814629084747</v>
      </c>
      <c r="H61" s="3">
        <f t="shared" si="1"/>
        <v>0.4014970881891457</v>
      </c>
      <c r="I61" s="3">
        <f t="shared" si="2"/>
        <v>7.7324765520005001E-2</v>
      </c>
      <c r="J61" s="3">
        <f t="shared" si="3"/>
        <v>0.922675234479995</v>
      </c>
    </row>
    <row r="62" spans="6:10" ht="15.75" customHeight="1" x14ac:dyDescent="0.25">
      <c r="F62" s="2">
        <v>60</v>
      </c>
      <c r="G62" s="3">
        <f t="shared" si="0"/>
        <v>0.51878727343201259</v>
      </c>
      <c r="H62" s="3">
        <f t="shared" si="1"/>
        <v>0.40296323248368993</v>
      </c>
      <c r="I62" s="3">
        <f t="shared" si="2"/>
        <v>7.8249494084295504E-2</v>
      </c>
      <c r="J62" s="3">
        <f t="shared" si="3"/>
        <v>0.92175050591570451</v>
      </c>
    </row>
    <row r="63" spans="6:10" ht="15.75" customHeight="1" x14ac:dyDescent="0.25">
      <c r="F63" s="2">
        <v>61</v>
      </c>
      <c r="G63" s="3">
        <f t="shared" si="0"/>
        <v>0.5164733784915263</v>
      </c>
      <c r="H63" s="3">
        <f t="shared" si="1"/>
        <v>0.40437488898423091</v>
      </c>
      <c r="I63" s="3">
        <f t="shared" si="2"/>
        <v>7.9151732524240764E-2</v>
      </c>
      <c r="J63" s="3">
        <f t="shared" si="3"/>
        <v>0.92084826747575921</v>
      </c>
    </row>
    <row r="64" spans="6:10" ht="15.75" customHeight="1" x14ac:dyDescent="0.25">
      <c r="F64" s="2">
        <v>62</v>
      </c>
      <c r="G64" s="3">
        <f t="shared" si="0"/>
        <v>0.51423384175444242</v>
      </c>
      <c r="H64" s="3">
        <f t="shared" si="1"/>
        <v>0.40573431307938013</v>
      </c>
      <c r="I64" s="3">
        <f t="shared" si="2"/>
        <v>8.0031845166175439E-2</v>
      </c>
      <c r="J64" s="3">
        <f t="shared" si="3"/>
        <v>0.91996815483382455</v>
      </c>
    </row>
    <row r="65" spans="6:10" ht="15.75" customHeight="1" x14ac:dyDescent="0.25">
      <c r="F65" s="2">
        <v>63</v>
      </c>
      <c r="G65" s="3">
        <f t="shared" si="0"/>
        <v>0.51206614044056731</v>
      </c>
      <c r="H65" s="3">
        <f t="shared" si="1"/>
        <v>0.40704365580948249</v>
      </c>
      <c r="I65" s="3">
        <f t="shared" si="2"/>
        <v>8.0890203749948264E-2</v>
      </c>
      <c r="J65" s="3">
        <f t="shared" si="3"/>
        <v>0.91910979625005174</v>
      </c>
    </row>
    <row r="66" spans="6:10" ht="15.75" customHeight="1" x14ac:dyDescent="0.25">
      <c r="F66" s="2">
        <v>64</v>
      </c>
      <c r="G66" s="3">
        <f t="shared" si="0"/>
        <v>0.50996784471232781</v>
      </c>
      <c r="H66" s="3">
        <f t="shared" si="1"/>
        <v>0.408304969165243</v>
      </c>
      <c r="I66" s="3">
        <f t="shared" si="2"/>
        <v>8.1727186122427284E-2</v>
      </c>
      <c r="J66" s="3">
        <f t="shared" si="3"/>
        <v>0.91827281387757276</v>
      </c>
    </row>
    <row r="67" spans="6:10" ht="15.75" customHeight="1" x14ac:dyDescent="0.25">
      <c r="F67" s="2">
        <v>65</v>
      </c>
      <c r="G67" s="3">
        <f t="shared" ref="G67:G130" si="4">(G66*$B$5)+(H66*$B$6)+(I66*$B$7)</f>
        <v>0.50793661386647326</v>
      </c>
      <c r="H67" s="3">
        <f t="shared" ref="H67:H130" si="5">(G66*$C$5)+(H66*$C$6)+(I66*$C$7)</f>
        <v>0.40952021109925502</v>
      </c>
      <c r="I67" s="3">
        <f t="shared" ref="I67:I130" si="6">(G66*$D$5)+(H66*$D$6)+(I66*$D$7)</f>
        <v>8.2543175034269778E-2</v>
      </c>
      <c r="J67" s="3">
        <f t="shared" ref="J67:J130" si="7">1-I67</f>
        <v>0.91745682496573022</v>
      </c>
    </row>
    <row r="68" spans="6:10" ht="15.75" customHeight="1" x14ac:dyDescent="0.25">
      <c r="F68" s="2">
        <v>66</v>
      </c>
      <c r="G68" s="3">
        <f t="shared" si="4"/>
        <v>0.50597019270030941</v>
      </c>
      <c r="H68" s="3">
        <f t="shared" si="5"/>
        <v>0.41069125026661657</v>
      </c>
      <c r="I68" s="3">
        <f t="shared" si="6"/>
        <v>8.3338557033072025E-2</v>
      </c>
      <c r="J68" s="3">
        <f t="shared" si="7"/>
        <v>0.91666144296692798</v>
      </c>
    </row>
    <row r="69" spans="6:10" ht="15.75" customHeight="1" x14ac:dyDescent="0.25">
      <c r="F69" s="2">
        <v>67</v>
      </c>
      <c r="G69" s="3">
        <f t="shared" si="4"/>
        <v>0.50406640804366554</v>
      </c>
      <c r="H69" s="3">
        <f t="shared" si="5"/>
        <v>0.41181987050988728</v>
      </c>
      <c r="I69" s="3">
        <f t="shared" si="6"/>
        <v>8.4113721446445244E-2</v>
      </c>
      <c r="J69" s="3">
        <f t="shared" si="7"/>
        <v>0.91588627855355476</v>
      </c>
    </row>
    <row r="70" spans="6:10" ht="15.75" customHeight="1" x14ac:dyDescent="0.25">
      <c r="F70" s="2">
        <v>68</v>
      </c>
      <c r="G70" s="3">
        <f t="shared" si="4"/>
        <v>0.50222316544827084</v>
      </c>
      <c r="H70" s="3">
        <f t="shared" si="5"/>
        <v>0.41290777510275989</v>
      </c>
      <c r="I70" s="3">
        <f t="shared" si="6"/>
        <v>8.4869059448967263E-2</v>
      </c>
      <c r="J70" s="3">
        <f t="shared" si="7"/>
        <v>0.91513094055103272</v>
      </c>
    </row>
    <row r="71" spans="6:10" ht="15.75" customHeight="1" x14ac:dyDescent="0.25">
      <c r="F71" s="2">
        <v>69</v>
      </c>
      <c r="G71" s="3">
        <f t="shared" si="4"/>
        <v>0.50043844602666454</v>
      </c>
      <c r="H71" s="3">
        <f t="shared" si="5"/>
        <v>0.41395659076599345</v>
      </c>
      <c r="I71" s="3">
        <f t="shared" si="6"/>
        <v>8.5604963207340026E-2</v>
      </c>
      <c r="J71" s="3">
        <f t="shared" si="7"/>
        <v>0.91439503679265999</v>
      </c>
    </row>
    <row r="72" spans="6:10" ht="15.75" customHeight="1" x14ac:dyDescent="0.25">
      <c r="F72" s="2">
        <v>70</v>
      </c>
      <c r="G72" s="3">
        <f t="shared" si="4"/>
        <v>0.49871030343318351</v>
      </c>
      <c r="H72" s="3">
        <f t="shared" si="5"/>
        <v>0.41496787146837572</v>
      </c>
      <c r="I72" s="3">
        <f t="shared" si="6"/>
        <v>8.6321825098438748E-2</v>
      </c>
      <c r="J72" s="3">
        <f t="shared" si="7"/>
        <v>0.91367817490156122</v>
      </c>
    </row>
    <row r="73" spans="6:10" ht="15.75" customHeight="1" x14ac:dyDescent="0.25">
      <c r="F73" s="2">
        <v>71</v>
      </c>
      <c r="G73" s="3">
        <f t="shared" si="4"/>
        <v>0.4970368609799764</v>
      </c>
      <c r="H73" s="3">
        <f t="shared" si="5"/>
        <v>0.4159431020247476</v>
      </c>
      <c r="I73" s="3">
        <f t="shared" si="6"/>
        <v>8.7020036995273969E-2</v>
      </c>
      <c r="J73" s="3">
        <f t="shared" si="7"/>
        <v>0.91297996300472606</v>
      </c>
    </row>
    <row r="74" spans="6:10" ht="15.75" customHeight="1" x14ac:dyDescent="0.25">
      <c r="F74" s="2">
        <v>72</v>
      </c>
      <c r="G74" s="3">
        <f t="shared" si="4"/>
        <v>0.49541630888136295</v>
      </c>
      <c r="H74" s="3">
        <f t="shared" si="5"/>
        <v>0.41688370150243331</v>
      </c>
      <c r="I74" s="3">
        <f t="shared" si="6"/>
        <v>8.7699989616201637E-2</v>
      </c>
      <c r="J74" s="3">
        <f t="shared" si="7"/>
        <v>0.91230001038379838</v>
      </c>
    </row>
    <row r="75" spans="6:10" ht="15.75" customHeight="1" x14ac:dyDescent="0.25">
      <c r="F75" s="2">
        <v>73</v>
      </c>
      <c r="G75" s="3">
        <f t="shared" si="4"/>
        <v>0.49384690162021844</v>
      </c>
      <c r="H75" s="3">
        <f t="shared" si="5"/>
        <v>0.41779102644676741</v>
      </c>
      <c r="I75" s="3">
        <f t="shared" si="6"/>
        <v>8.8362071933012029E-2</v>
      </c>
      <c r="J75" s="3">
        <f t="shared" si="7"/>
        <v>0.91163792806698796</v>
      </c>
    </row>
    <row r="76" spans="6:10" ht="15.75" customHeight="1" x14ac:dyDescent="0.25">
      <c r="F76" s="2">
        <v>74</v>
      </c>
      <c r="G76" s="3">
        <f t="shared" si="4"/>
        <v>0.49232695543039529</v>
      </c>
      <c r="H76" s="3">
        <f t="shared" si="5"/>
        <v>0.41866637393579748</v>
      </c>
      <c r="I76" s="3">
        <f t="shared" si="6"/>
        <v>8.9006670633805074E-2</v>
      </c>
      <c r="J76" s="3">
        <f t="shared" si="7"/>
        <v>0.91099332936619493</v>
      </c>
    </row>
    <row r="77" spans="6:10" ht="15.75" customHeight="1" x14ac:dyDescent="0.25">
      <c r="F77" s="2">
        <v>75</v>
      </c>
      <c r="G77" s="3">
        <f t="shared" si="4"/>
        <v>0.49085484588951273</v>
      </c>
      <c r="H77" s="3">
        <f t="shared" si="5"/>
        <v>0.41951098447366481</v>
      </c>
      <c r="I77" s="3">
        <f t="shared" si="6"/>
        <v>8.9634169636820235E-2</v>
      </c>
      <c r="J77" s="3">
        <f t="shared" si="7"/>
        <v>0.91036583036317975</v>
      </c>
    </row>
    <row r="78" spans="6:10" ht="15.75" customHeight="1" x14ac:dyDescent="0.25">
      <c r="F78" s="2">
        <v>76</v>
      </c>
      <c r="G78" s="3">
        <f t="shared" si="4"/>
        <v>0.48942900561674468</v>
      </c>
      <c r="H78" s="3">
        <f t="shared" si="5"/>
        <v>0.42032604473162</v>
      </c>
      <c r="I78" s="3">
        <f t="shared" si="6"/>
        <v>9.0244949651633016E-2</v>
      </c>
      <c r="J78" s="3">
        <f t="shared" si="7"/>
        <v>0.90975505034836701</v>
      </c>
    </row>
    <row r="79" spans="6:10" ht="15.75" customHeight="1" x14ac:dyDescent="0.25">
      <c r="F79" s="2">
        <v>77</v>
      </c>
      <c r="G79" s="3">
        <f t="shared" si="4"/>
        <v>0.48804792207051817</v>
      </c>
      <c r="H79" s="3">
        <f t="shared" si="5"/>
        <v>0.42111269014511959</v>
      </c>
      <c r="I79" s="3">
        <f t="shared" si="6"/>
        <v>9.083938778435989E-2</v>
      </c>
      <c r="J79" s="3">
        <f t="shared" si="7"/>
        <v>0.90916061221564015</v>
      </c>
    </row>
    <row r="80" spans="6:10" ht="15.75" customHeight="1" x14ac:dyDescent="0.25">
      <c r="F80" s="2">
        <v>78</v>
      </c>
      <c r="G80" s="3">
        <f t="shared" si="4"/>
        <v>0.48671013544130198</v>
      </c>
      <c r="H80" s="3">
        <f t="shared" si="5"/>
        <v>0.42187200737496716</v>
      </c>
      <c r="I80" s="3">
        <f t="shared" si="6"/>
        <v>9.1417857183728454E-2</v>
      </c>
      <c r="J80" s="3">
        <f t="shared" si="7"/>
        <v>0.90858214281627159</v>
      </c>
    </row>
    <row r="81" spans="6:10" ht="15.75" customHeight="1" x14ac:dyDescent="0.25">
      <c r="F81" s="2">
        <v>79</v>
      </c>
      <c r="G81" s="3">
        <f t="shared" si="4"/>
        <v>0.48541423663491789</v>
      </c>
      <c r="H81" s="3">
        <f t="shared" si="5"/>
        <v>0.42260503664000804</v>
      </c>
      <c r="I81" s="3">
        <f t="shared" si="6"/>
        <v>9.1980726725071599E-2</v>
      </c>
      <c r="J81" s="3">
        <f t="shared" si="7"/>
        <v>0.90801927327492837</v>
      </c>
    </row>
    <row r="82" spans="6:10" ht="15.75" customHeight="1" x14ac:dyDescent="0.25">
      <c r="F82" s="2">
        <v>80</v>
      </c>
      <c r="G82" s="3">
        <f t="shared" si="4"/>
        <v>0.48415886534204516</v>
      </c>
      <c r="H82" s="3">
        <f t="shared" si="5"/>
        <v>0.42331277392845795</v>
      </c>
      <c r="I82" s="3">
        <f t="shared" si="6"/>
        <v>9.252836072949433E-2</v>
      </c>
      <c r="J82" s="3">
        <f t="shared" si="7"/>
        <v>0.90747163927050567</v>
      </c>
    </row>
    <row r="83" spans="6:10" ht="15.75" customHeight="1" x14ac:dyDescent="0.25">
      <c r="F83" s="2">
        <v>81</v>
      </c>
      <c r="G83" s="3">
        <f t="shared" si="4"/>
        <v>0.48294270818981372</v>
      </c>
      <c r="H83" s="3">
        <f t="shared" si="5"/>
        <v>0.42399617309454418</v>
      </c>
      <c r="I83" s="3">
        <f t="shared" si="6"/>
        <v>9.3061118715639449E-2</v>
      </c>
      <c r="J83" s="3">
        <f t="shared" si="7"/>
        <v>0.90693888128436051</v>
      </c>
    </row>
    <row r="84" spans="6:10" ht="15.75" customHeight="1" x14ac:dyDescent="0.25">
      <c r="F84" s="2">
        <v>82</v>
      </c>
      <c r="G84" s="3">
        <f t="shared" si="4"/>
        <v>0.48176449697159462</v>
      </c>
      <c r="H84" s="3">
        <f t="shared" si="5"/>
        <v>0.42465614784675704</v>
      </c>
      <c r="I84" s="3">
        <f t="shared" si="6"/>
        <v>9.3579355181645646E-2</v>
      </c>
      <c r="J84" s="3">
        <f t="shared" si="7"/>
        <v>0.90642064481835438</v>
      </c>
    </row>
    <row r="85" spans="6:10" ht="15.75" customHeight="1" x14ac:dyDescent="0.25">
      <c r="F85" s="2">
        <v>83</v>
      </c>
      <c r="G85" s="3">
        <f t="shared" si="4"/>
        <v>0.48062300695129834</v>
      </c>
      <c r="H85" s="3">
        <f t="shared" si="5"/>
        <v>0.42529357363365106</v>
      </c>
      <c r="I85" s="3">
        <f t="shared" si="6"/>
        <v>9.4083419415047845E-2</v>
      </c>
      <c r="J85" s="3">
        <f t="shared" si="7"/>
        <v>0.90591658058495217</v>
      </c>
    </row>
    <row r="86" spans="6:10" ht="15.75" customHeight="1" x14ac:dyDescent="0.25">
      <c r="F86" s="2">
        <v>84</v>
      </c>
      <c r="G86" s="3">
        <f t="shared" si="4"/>
        <v>0.47951705523867982</v>
      </c>
      <c r="H86" s="3">
        <f t="shared" si="5"/>
        <v>0.42590928943280049</v>
      </c>
      <c r="I86" s="3">
        <f t="shared" si="6"/>
        <v>9.4573655328516845E-2</v>
      </c>
      <c r="J86" s="3">
        <f t="shared" si="7"/>
        <v>0.9054263446714832</v>
      </c>
    </row>
    <row r="87" spans="6:10" ht="15.75" customHeight="1" x14ac:dyDescent="0.25">
      <c r="F87" s="2">
        <v>85</v>
      </c>
      <c r="G87" s="3">
        <f t="shared" si="4"/>
        <v>0.47844549923233098</v>
      </c>
      <c r="H87" s="3">
        <f t="shared" si="5"/>
        <v>0.42650409944819329</v>
      </c>
      <c r="I87" s="3">
        <f t="shared" si="6"/>
        <v>9.5050401319472885E-2</v>
      </c>
      <c r="J87" s="3">
        <f t="shared" si="7"/>
        <v>0.90494959868052716</v>
      </c>
    </row>
    <row r="88" spans="6:10" ht="15.75" customHeight="1" x14ac:dyDescent="0.25">
      <c r="F88" s="2">
        <v>86</v>
      </c>
      <c r="G88" s="3">
        <f t="shared" si="4"/>
        <v>0.47740723512720956</v>
      </c>
      <c r="H88" s="3">
        <f t="shared" si="5"/>
        <v>0.42707877472105021</v>
      </c>
      <c r="I88" s="3">
        <f t="shared" si="6"/>
        <v>9.5513990151737269E-2</v>
      </c>
      <c r="J88" s="3">
        <f t="shared" si="7"/>
        <v>0.90448600984826277</v>
      </c>
    </row>
    <row r="89" spans="6:10" ht="15.75" customHeight="1" x14ac:dyDescent="0.25">
      <c r="F89" s="2">
        <v>87</v>
      </c>
      <c r="G89" s="3">
        <f t="shared" si="4"/>
        <v>0.47640119648371559</v>
      </c>
      <c r="H89" s="3">
        <f t="shared" si="5"/>
        <v>0.42763405465877397</v>
      </c>
      <c r="I89" s="3">
        <f t="shared" si="6"/>
        <v>9.5964748857507484E-2</v>
      </c>
      <c r="J89" s="3">
        <f t="shared" si="7"/>
        <v>0.9040352511424925</v>
      </c>
    </row>
    <row r="90" spans="6:10" ht="15.75" customHeight="1" x14ac:dyDescent="0.25">
      <c r="F90" s="2">
        <v>88</v>
      </c>
      <c r="G90" s="3">
        <f t="shared" si="4"/>
        <v>0.47542635285547635</v>
      </c>
      <c r="H90" s="3">
        <f t="shared" si="5"/>
        <v>0.42817064848646608</v>
      </c>
      <c r="I90" s="3">
        <f t="shared" si="6"/>
        <v>9.6402998658054545E-2</v>
      </c>
      <c r="J90" s="3">
        <f t="shared" si="7"/>
        <v>0.90359700134194543</v>
      </c>
    </row>
    <row r="91" spans="6:10" ht="15.75" customHeight="1" x14ac:dyDescent="0.25">
      <c r="F91" s="2">
        <v>89</v>
      </c>
      <c r="G91" s="3">
        <f t="shared" si="4"/>
        <v>0.47448170847314763</v>
      </c>
      <c r="H91" s="3">
        <f t="shared" si="5"/>
        <v>0.42868923662520081</v>
      </c>
      <c r="I91" s="3">
        <f t="shared" si="6"/>
        <v>9.6829054901648504E-2</v>
      </c>
      <c r="J91" s="3">
        <f t="shared" si="7"/>
        <v>0.9031709450983515</v>
      </c>
    </row>
    <row r="92" spans="6:10" ht="15.75" customHeight="1" x14ac:dyDescent="0.25">
      <c r="F92" s="2">
        <v>90</v>
      </c>
      <c r="G92" s="3">
        <f t="shared" si="4"/>
        <v>0.47356630098167163</v>
      </c>
      <c r="H92" s="3">
        <f t="shared" si="5"/>
        <v>0.42919047200100779</v>
      </c>
      <c r="I92" s="3">
        <f t="shared" si="6"/>
        <v>9.7243227017317496E-2</v>
      </c>
      <c r="J92" s="3">
        <f t="shared" si="7"/>
        <v>0.90275677298268253</v>
      </c>
    </row>
    <row r="93" spans="6:10" ht="15.75" customHeight="1" x14ac:dyDescent="0.25">
      <c r="F93" s="2">
        <v>91</v>
      </c>
      <c r="G93" s="3">
        <f t="shared" si="4"/>
        <v>0.47267920022856325</v>
      </c>
      <c r="H93" s="3">
        <f t="shared" si="5"/>
        <v>0.42967498128829384</v>
      </c>
      <c r="I93" s="3">
        <f t="shared" si="6"/>
        <v>9.764581848313976E-2</v>
      </c>
      <c r="J93" s="3">
        <f t="shared" si="7"/>
        <v>0.9023541815168602</v>
      </c>
    </row>
    <row r="94" spans="6:10" ht="15.75" customHeight="1" x14ac:dyDescent="0.25">
      <c r="F94" s="2">
        <v>92</v>
      </c>
      <c r="G94" s="3">
        <f t="shared" si="4"/>
        <v>0.47181950710091625</v>
      </c>
      <c r="H94" s="3">
        <f t="shared" si="5"/>
        <v>0.43014336609122494</v>
      </c>
      <c r="I94" s="3">
        <f t="shared" si="6"/>
        <v>9.8037126807855562E-2</v>
      </c>
      <c r="J94" s="3">
        <f t="shared" si="7"/>
        <v>0.90196287319214441</v>
      </c>
    </row>
    <row r="95" spans="6:10" ht="15.75" customHeight="1" x14ac:dyDescent="0.25">
      <c r="F95" s="2">
        <v>93</v>
      </c>
      <c r="G95" s="3">
        <f t="shared" si="4"/>
        <v>0.47098635240893744</v>
      </c>
      <c r="H95" s="3">
        <f t="shared" si="5"/>
        <v>0.43059620406639076</v>
      </c>
      <c r="I95" s="3">
        <f t="shared" si="6"/>
        <v>9.841744352466858E-2</v>
      </c>
      <c r="J95" s="3">
        <f t="shared" si="7"/>
        <v>0.90158255647533148</v>
      </c>
    </row>
    <row r="96" spans="6:10" ht="15.75" customHeight="1" x14ac:dyDescent="0.25">
      <c r="F96" s="2">
        <v>94</v>
      </c>
      <c r="G96" s="3">
        <f t="shared" si="4"/>
        <v>0.47017889581392397</v>
      </c>
      <c r="H96" s="3">
        <f t="shared" si="5"/>
        <v>0.43103404998988953</v>
      </c>
      <c r="I96" s="3">
        <f t="shared" si="6"/>
        <v>9.8787054196183222E-2</v>
      </c>
      <c r="J96" s="3">
        <f t="shared" si="7"/>
        <v>0.90121294580381672</v>
      </c>
    </row>
    <row r="97" spans="6:10" ht="15.75" customHeight="1" x14ac:dyDescent="0.25">
      <c r="F97" s="2">
        <v>95</v>
      </c>
      <c r="G97" s="3">
        <f t="shared" si="4"/>
        <v>0.46939632479870513</v>
      </c>
      <c r="H97" s="3">
        <f t="shared" si="5"/>
        <v>0.43145743677179488</v>
      </c>
      <c r="I97" s="3">
        <f t="shared" si="6"/>
        <v>9.9146238429496672E-2</v>
      </c>
      <c r="J97" s="3">
        <f t="shared" si="7"/>
        <v>0.90085376157050334</v>
      </c>
    </row>
    <row r="98" spans="6:10" ht="15.75" customHeight="1" x14ac:dyDescent="0.25">
      <c r="F98" s="2">
        <v>96</v>
      </c>
      <c r="G98" s="3">
        <f t="shared" si="4"/>
        <v>0.46863785367866417</v>
      </c>
      <c r="H98" s="3">
        <f t="shared" si="5"/>
        <v>0.43186687642080035</v>
      </c>
      <c r="I98" s="3">
        <f t="shared" si="6"/>
        <v>9.9495269900532049E-2</v>
      </c>
      <c r="J98" s="3">
        <f t="shared" si="7"/>
        <v>0.90050473009946796</v>
      </c>
    </row>
    <row r="99" spans="6:10" ht="15.75" customHeight="1" x14ac:dyDescent="0.25">
      <c r="F99" s="2">
        <v>97</v>
      </c>
      <c r="G99" s="3">
        <f t="shared" si="4"/>
        <v>0.46790272265155081</v>
      </c>
      <c r="H99" s="3">
        <f t="shared" si="5"/>
        <v>0.43226286096168304</v>
      </c>
      <c r="I99" s="3">
        <f t="shared" si="6"/>
        <v>9.9834416386762687E-2</v>
      </c>
      <c r="J99" s="3">
        <f t="shared" si="7"/>
        <v>0.90016558361323729</v>
      </c>
    </row>
    <row r="100" spans="6:10" ht="15.75" customHeight="1" x14ac:dyDescent="0.25">
      <c r="F100" s="2">
        <v>98</v>
      </c>
      <c r="G100" s="3">
        <f t="shared" si="4"/>
        <v>0.46719019688438096</v>
      </c>
      <c r="H100" s="3">
        <f t="shared" si="5"/>
        <v>0.43264586330807903</v>
      </c>
      <c r="I100" s="3">
        <f t="shared" si="6"/>
        <v>0.10016393980753653</v>
      </c>
      <c r="J100" s="3">
        <f t="shared" si="7"/>
        <v>0.89983606019246343</v>
      </c>
    </row>
    <row r="101" spans="6:10" ht="15.75" customHeight="1" x14ac:dyDescent="0.25">
      <c r="F101" s="2">
        <v>99</v>
      </c>
      <c r="G101" s="3">
        <f t="shared" si="4"/>
        <v>0.46649956563580475</v>
      </c>
      <c r="H101" s="3">
        <f t="shared" si="5"/>
        <v>0.43301633809292606</v>
      </c>
      <c r="I101" s="3">
        <f t="shared" si="6"/>
        <v>0.10048409627126569</v>
      </c>
      <c r="J101" s="3">
        <f t="shared" si="7"/>
        <v>0.89951590372873436</v>
      </c>
    </row>
    <row r="102" spans="6:10" ht="15.75" customHeight="1" x14ac:dyDescent="0.25">
      <c r="F102" s="2">
        <v>100</v>
      </c>
      <c r="G102" s="3">
        <f t="shared" si="4"/>
        <v>0.46583014141240064</v>
      </c>
      <c r="H102" s="3">
        <f t="shared" si="5"/>
        <v>0.43337472245879799</v>
      </c>
      <c r="I102" s="3">
        <f t="shared" si="6"/>
        <v>0.10079513612879781</v>
      </c>
      <c r="J102" s="3">
        <f t="shared" si="7"/>
        <v>0.89920486387120224</v>
      </c>
    </row>
    <row r="103" spans="6:10" ht="15.75" customHeight="1" x14ac:dyDescent="0.25">
      <c r="F103" s="2">
        <v>101</v>
      </c>
      <c r="G103" s="3">
        <f t="shared" si="4"/>
        <v>0.46518125915742958</v>
      </c>
      <c r="H103" s="3">
        <f t="shared" si="5"/>
        <v>0.43372143681023195</v>
      </c>
      <c r="I103" s="3">
        <f t="shared" si="6"/>
        <v>0.10109730403233487</v>
      </c>
      <c r="J103" s="3">
        <f t="shared" si="7"/>
        <v>0.89890269596766514</v>
      </c>
    </row>
    <row r="104" spans="6:10" ht="15.75" customHeight="1" x14ac:dyDescent="0.25">
      <c r="F104" s="2">
        <v>102</v>
      </c>
      <c r="G104" s="3">
        <f t="shared" si="4"/>
        <v>0.46455227547065225</v>
      </c>
      <c r="H104" s="3">
        <f t="shared" si="5"/>
        <v>0.43405688553003363</v>
      </c>
      <c r="I104" s="3">
        <f t="shared" si="6"/>
        <v>0.10139083899931041</v>
      </c>
      <c r="J104" s="3">
        <f t="shared" si="7"/>
        <v>0.89860916100068955</v>
      </c>
    </row>
    <row r="105" spans="6:10" ht="15.75" customHeight="1" x14ac:dyDescent="0.25">
      <c r="F105" s="2">
        <v>103</v>
      </c>
      <c r="G105" s="3">
        <f t="shared" si="4"/>
        <v>0.46394256785788068</v>
      </c>
      <c r="H105" s="3">
        <f t="shared" si="5"/>
        <v>0.43438145766143654</v>
      </c>
      <c r="I105" s="3">
        <f t="shared" si="6"/>
        <v>0.1016759744806791</v>
      </c>
      <c r="J105" s="3">
        <f t="shared" si="7"/>
        <v>0.89832402551932089</v>
      </c>
    </row>
    <row r="106" spans="6:10" ht="15.75" customHeight="1" x14ac:dyDescent="0.25">
      <c r="F106" s="2">
        <v>104</v>
      </c>
      <c r="G106" s="3">
        <f t="shared" si="4"/>
        <v>0.46335153400899753</v>
      </c>
      <c r="H106" s="3">
        <f t="shared" si="5"/>
        <v>0.43469552755788665</v>
      </c>
      <c r="I106" s="3">
        <f t="shared" si="6"/>
        <v>0.10195293843311205</v>
      </c>
      <c r="J106" s="3">
        <f t="shared" si="7"/>
        <v>0.89804706156688796</v>
      </c>
    </row>
    <row r="107" spans="6:10" ht="15.75" customHeight="1" x14ac:dyDescent="0.25">
      <c r="F107" s="2">
        <v>105</v>
      </c>
      <c r="G107" s="3">
        <f t="shared" si="4"/>
        <v>0.46277859110323788</v>
      </c>
      <c r="H107" s="3">
        <f t="shared" si="5"/>
        <v>0.43499945550212932</v>
      </c>
      <c r="I107" s="3">
        <f t="shared" si="6"/>
        <v>0.10222195339462899</v>
      </c>
      <c r="J107" s="3">
        <f t="shared" si="7"/>
        <v>0.89777804660537097</v>
      </c>
    </row>
    <row r="108" spans="6:10" ht="15.75" customHeight="1" x14ac:dyDescent="0.25">
      <c r="F108" s="2">
        <v>106</v>
      </c>
      <c r="G108" s="3">
        <f t="shared" si="4"/>
        <v>0.46222317514058342</v>
      </c>
      <c r="H108" s="3">
        <f t="shared" si="5"/>
        <v>0.43529358829617987</v>
      </c>
      <c r="I108" s="3">
        <f t="shared" si="6"/>
        <v>0.10248323656323285</v>
      </c>
      <c r="J108" s="3">
        <f t="shared" si="7"/>
        <v>0.89751676343676712</v>
      </c>
    </row>
    <row r="109" spans="6:10" ht="15.75" customHeight="1" x14ac:dyDescent="0.25">
      <c r="F109" s="2">
        <v>107</v>
      </c>
      <c r="G109" s="3">
        <f t="shared" si="4"/>
        <v>0.46168474029817547</v>
      </c>
      <c r="H109" s="3">
        <f t="shared" si="5"/>
        <v>0.43557825982367515</v>
      </c>
      <c r="I109" s="3">
        <f t="shared" si="6"/>
        <v>0.10273699987814544</v>
      </c>
      <c r="J109" s="3">
        <f t="shared" si="7"/>
        <v>0.89726300012185456</v>
      </c>
    </row>
    <row r="110" spans="6:10" ht="15.75" customHeight="1" x14ac:dyDescent="0.25">
      <c r="F110" s="2">
        <v>108</v>
      </c>
      <c r="G110" s="3">
        <f t="shared" si="4"/>
        <v>0.46116275831070175</v>
      </c>
      <c r="H110" s="3">
        <f t="shared" si="5"/>
        <v>0.4358537915860215</v>
      </c>
      <c r="I110" s="3">
        <f t="shared" si="6"/>
        <v>0.10298345010327271</v>
      </c>
      <c r="J110" s="3">
        <f t="shared" si="7"/>
        <v>0.8970165498967273</v>
      </c>
    </row>
    <row r="111" spans="6:10" ht="15.75" customHeight="1" x14ac:dyDescent="0.25">
      <c r="F111" s="2">
        <v>109</v>
      </c>
      <c r="G111" s="3">
        <f t="shared" si="4"/>
        <v>0.46065671787376333</v>
      </c>
      <c r="H111" s="3">
        <f t="shared" si="5"/>
        <v>0.43612049321367541</v>
      </c>
      <c r="I111" s="3">
        <f t="shared" si="6"/>
        <v>0.10322278891255719</v>
      </c>
      <c r="J111" s="3">
        <f t="shared" si="7"/>
        <v>0.89677721108744279</v>
      </c>
    </row>
    <row r="112" spans="6:10" ht="15.75" customHeight="1" x14ac:dyDescent="0.25">
      <c r="F112" s="2">
        <v>110</v>
      </c>
      <c r="G112" s="3">
        <f t="shared" si="4"/>
        <v>0.46016612406927121</v>
      </c>
      <c r="H112" s="3">
        <f t="shared" si="5"/>
        <v>0.43637866295382333</v>
      </c>
      <c r="I112" s="3">
        <f t="shared" si="6"/>
        <v>0.10345521297690131</v>
      </c>
      <c r="J112" s="3">
        <f t="shared" si="7"/>
        <v>0.8965447870230987</v>
      </c>
    </row>
    <row r="113" spans="6:10" ht="15.75" customHeight="1" x14ac:dyDescent="0.25">
      <c r="F113" s="2">
        <v>111</v>
      </c>
      <c r="G113" s="3">
        <f t="shared" si="4"/>
        <v>0.45969049781196919</v>
      </c>
      <c r="H113" s="3">
        <f t="shared" si="5"/>
        <v>0.43662858813565625</v>
      </c>
      <c r="I113" s="3">
        <f t="shared" si="6"/>
        <v>0.10368091405237041</v>
      </c>
      <c r="J113" s="3">
        <f t="shared" si="7"/>
        <v>0.89631908594762955</v>
      </c>
    </row>
    <row r="114" spans="6:10" ht="15.75" customHeight="1" x14ac:dyDescent="0.25">
      <c r="F114" s="2">
        <v>112</v>
      </c>
      <c r="G114" s="3">
        <f t="shared" si="4"/>
        <v>0.45922937531621794</v>
      </c>
      <c r="H114" s="3">
        <f t="shared" si="5"/>
        <v>0.43687054561437072</v>
      </c>
      <c r="I114" s="3">
        <f t="shared" si="6"/>
        <v>0.10390007906940717</v>
      </c>
      <c r="J114" s="3">
        <f t="shared" si="7"/>
        <v>0.89609992093059287</v>
      </c>
    </row>
    <row r="115" spans="6:10" ht="15.75" customHeight="1" x14ac:dyDescent="0.25">
      <c r="F115" s="2">
        <v>113</v>
      </c>
      <c r="G115" s="3">
        <f t="shared" si="4"/>
        <v>0.4587823075822175</v>
      </c>
      <c r="H115" s="3">
        <f t="shared" si="5"/>
        <v>0.43710480219496717</v>
      </c>
      <c r="I115" s="3">
        <f t="shared" si="6"/>
        <v>0.10411289022281109</v>
      </c>
      <c r="J115" s="3">
        <f t="shared" si="7"/>
        <v>0.89588710977718888</v>
      </c>
    </row>
    <row r="116" spans="6:10" ht="15.75" customHeight="1" x14ac:dyDescent="0.25">
      <c r="F116" s="2">
        <v>114</v>
      </c>
      <c r="G116" s="3">
        <f t="shared" si="4"/>
        <v>0.45834885990088081</v>
      </c>
      <c r="H116" s="3">
        <f t="shared" si="5"/>
        <v>0.43733161503685825</v>
      </c>
      <c r="I116" s="3">
        <f t="shared" si="6"/>
        <v>0.10431952506225667</v>
      </c>
      <c r="J116" s="3">
        <f t="shared" si="7"/>
        <v>0.89568047493774339</v>
      </c>
    </row>
    <row r="117" spans="6:10" ht="15.75" customHeight="1" x14ac:dyDescent="0.25">
      <c r="F117" s="2">
        <v>115</v>
      </c>
      <c r="G117" s="3">
        <f t="shared" si="4"/>
        <v>0.45792861137660801</v>
      </c>
      <c r="H117" s="3">
        <f t="shared" si="5"/>
        <v>0.4375512320402451</v>
      </c>
      <c r="I117" s="3">
        <f t="shared" si="6"/>
        <v>0.10452015658314259</v>
      </c>
      <c r="J117" s="3">
        <f t="shared" si="7"/>
        <v>0.89547984341685738</v>
      </c>
    </row>
    <row r="118" spans="6:10" ht="15.75" customHeight="1" x14ac:dyDescent="0.25">
      <c r="F118" s="2">
        <v>116</v>
      </c>
      <c r="G118" s="3">
        <f t="shared" si="4"/>
        <v>0.45752115446724362</v>
      </c>
      <c r="H118" s="3">
        <f t="shared" si="5"/>
        <v>0.43776389221516987</v>
      </c>
      <c r="I118" s="3">
        <f t="shared" si="6"/>
        <v>0.1047149533175822</v>
      </c>
      <c r="J118" s="3">
        <f t="shared" si="7"/>
        <v>0.89528504668241782</v>
      </c>
    </row>
    <row r="119" spans="6:10" ht="15.75" customHeight="1" x14ac:dyDescent="0.25">
      <c r="F119" s="2">
        <v>117</v>
      </c>
      <c r="G119" s="3">
        <f t="shared" si="4"/>
        <v>0.45712609454053288</v>
      </c>
      <c r="H119" s="3">
        <f t="shared" si="5"/>
        <v>0.43796982603410145</v>
      </c>
      <c r="I119" s="3">
        <f t="shared" si="6"/>
        <v>0.10490407942536131</v>
      </c>
      <c r="J119" s="3">
        <f t="shared" si="7"/>
        <v>0.89509592057463871</v>
      </c>
    </row>
    <row r="120" spans="6:10" ht="15.75" customHeight="1" x14ac:dyDescent="0.25">
      <c r="F120" s="2">
        <v>118</v>
      </c>
      <c r="G120" s="3">
        <f t="shared" si="4"/>
        <v>0.45674304944642163</v>
      </c>
      <c r="H120" s="3">
        <f t="shared" si="5"/>
        <v>0.43816925576886873</v>
      </c>
      <c r="I120" s="3">
        <f t="shared" si="6"/>
        <v>0.10508769478470524</v>
      </c>
      <c r="J120" s="3">
        <f t="shared" si="7"/>
        <v>0.89491230521529475</v>
      </c>
    </row>
    <row r="121" spans="6:10" ht="15.75" customHeight="1" x14ac:dyDescent="0.25">
      <c r="F121" s="2">
        <v>119</v>
      </c>
      <c r="G121" s="3">
        <f t="shared" si="4"/>
        <v>0.45637164910457534</v>
      </c>
      <c r="H121" s="3">
        <f t="shared" si="5"/>
        <v>0.4383623958127098</v>
      </c>
      <c r="I121" s="3">
        <f t="shared" si="6"/>
        <v>0.10526595508271046</v>
      </c>
      <c r="J121" s="3">
        <f t="shared" si="7"/>
        <v>0.89473404491728958</v>
      </c>
    </row>
    <row r="122" spans="6:10" ht="15.75" customHeight="1" x14ac:dyDescent="0.25">
      <c r="F122" s="2">
        <v>120</v>
      </c>
      <c r="G122" s="3">
        <f t="shared" si="4"/>
        <v>0.45601153510651898</v>
      </c>
      <c r="H122" s="3">
        <f t="shared" si="5"/>
        <v>0.43854945298816639</v>
      </c>
      <c r="I122" s="3">
        <f t="shared" si="6"/>
        <v>0.10543901190531013</v>
      </c>
      <c r="J122" s="3">
        <f t="shared" si="7"/>
        <v>0.89456098809468987</v>
      </c>
    </row>
    <row r="123" spans="6:10" ht="15.75" customHeight="1" x14ac:dyDescent="0.25">
      <c r="F123" s="2">
        <v>121</v>
      </c>
      <c r="G123" s="3">
        <f t="shared" si="4"/>
        <v>0.455662360331827</v>
      </c>
      <c r="H123" s="3">
        <f t="shared" si="5"/>
        <v>0.43873062684151382</v>
      </c>
      <c r="I123" s="3">
        <f t="shared" si="6"/>
        <v>0.10560701282665452</v>
      </c>
      <c r="J123" s="3">
        <f t="shared" si="7"/>
        <v>0.89439298717334548</v>
      </c>
    </row>
    <row r="124" spans="6:10" ht="15.75" customHeight="1" x14ac:dyDescent="0.25">
      <c r="F124" s="2">
        <v>122</v>
      </c>
      <c r="G124" s="3">
        <f t="shared" si="4"/>
        <v>0.45532378857781625</v>
      </c>
      <c r="H124" s="3">
        <f t="shared" si="5"/>
        <v>0.43890610992438001</v>
      </c>
      <c r="I124" s="3">
        <f t="shared" si="6"/>
        <v>0.10577010149779902</v>
      </c>
      <c r="J124" s="3">
        <f t="shared" si="7"/>
        <v>0.89422989850220103</v>
      </c>
    </row>
    <row r="125" spans="6:10" ht="15.75" customHeight="1" x14ac:dyDescent="0.25">
      <c r="F125" s="2">
        <v>123</v>
      </c>
      <c r="G125" s="3">
        <f t="shared" si="4"/>
        <v>0.45499549420221952</v>
      </c>
      <c r="H125" s="3">
        <f t="shared" si="5"/>
        <v>0.43907608806317283</v>
      </c>
      <c r="I125" s="3">
        <f t="shared" si="6"/>
        <v>0.10592841773460288</v>
      </c>
      <c r="J125" s="3">
        <f t="shared" si="7"/>
        <v>0.89407158226539707</v>
      </c>
    </row>
    <row r="126" spans="6:10" ht="15.75" customHeight="1" x14ac:dyDescent="0.25">
      <c r="F126" s="2">
        <v>124</v>
      </c>
      <c r="G126" s="3">
        <f t="shared" si="4"/>
        <v>0.45467716177834</v>
      </c>
      <c r="H126" s="3">
        <f t="shared" si="5"/>
        <v>0.43924074061690327</v>
      </c>
      <c r="I126" s="3">
        <f t="shared" si="6"/>
        <v>0.1060820976047519</v>
      </c>
      <c r="J126" s="3">
        <f t="shared" si="7"/>
        <v>0.89391790239524815</v>
      </c>
    </row>
    <row r="127" spans="6:10" ht="15.75" customHeight="1" x14ac:dyDescent="0.25">
      <c r="F127" s="2">
        <v>125</v>
      </c>
      <c r="G127" s="3">
        <f t="shared" si="4"/>
        <v>0.45436848576220767</v>
      </c>
      <c r="H127" s="3">
        <f t="shared" si="5"/>
        <v>0.43940024072396033</v>
      </c>
      <c r="I127" s="3">
        <f t="shared" si="6"/>
        <v>0.1062312735138272</v>
      </c>
      <c r="J127" s="3">
        <f t="shared" si="7"/>
        <v>0.89376872648617278</v>
      </c>
    </row>
    <row r="128" spans="6:10" ht="15.75" customHeight="1" x14ac:dyDescent="0.25">
      <c r="F128" s="2">
        <v>126</v>
      </c>
      <c r="G128" s="3">
        <f t="shared" si="4"/>
        <v>0.45406917017127968</v>
      </c>
      <c r="H128" s="3">
        <f t="shared" si="5"/>
        <v>0.43955475553836482</v>
      </c>
      <c r="I128" s="3">
        <f t="shared" si="6"/>
        <v>0.10637607429035068</v>
      </c>
      <c r="J128" s="3">
        <f t="shared" si="7"/>
        <v>0.89362392570964932</v>
      </c>
    </row>
    <row r="129" spans="6:10" ht="15.75" customHeight="1" x14ac:dyDescent="0.25">
      <c r="F129" s="2">
        <v>127</v>
      </c>
      <c r="G129" s="3">
        <f t="shared" si="4"/>
        <v>0.45377892827424698</v>
      </c>
      <c r="H129" s="3">
        <f t="shared" si="5"/>
        <v>0.43970444645600226</v>
      </c>
      <c r="I129" s="3">
        <f t="shared" si="6"/>
        <v>0.10651662526974588</v>
      </c>
      <c r="J129" s="3">
        <f t="shared" si="7"/>
        <v>0.89348337473025408</v>
      </c>
    </row>
    <row r="130" spans="6:10" ht="15.75" customHeight="1" x14ac:dyDescent="0.25">
      <c r="F130" s="2">
        <v>128</v>
      </c>
      <c r="G130" s="3">
        <f t="shared" si="4"/>
        <v>0.4534974822915262</v>
      </c>
      <c r="H130" s="3">
        <f t="shared" si="5"/>
        <v>0.4398494693313087</v>
      </c>
      <c r="I130" s="3">
        <f t="shared" si="6"/>
        <v>0.10665304837716019</v>
      </c>
      <c r="J130" s="3">
        <f t="shared" si="7"/>
        <v>0.89334695162283984</v>
      </c>
    </row>
    <row r="131" spans="6:10" ht="15.75" customHeight="1" x14ac:dyDescent="0.25">
      <c r="F131" s="2">
        <v>129</v>
      </c>
      <c r="G131" s="3">
        <f t="shared" ref="G131:G194" si="8">(G130*$B$5)+(H130*$B$6)+(I130*$B$7)</f>
        <v>0.45322456310603559</v>
      </c>
      <c r="H131" s="3">
        <f t="shared" ref="H131:H194" si="9">(G130*$C$5)+(H130*$C$6)+(I130*$C$7)</f>
        <v>0.43998997468485884</v>
      </c>
      <c r="I131" s="3">
        <f t="shared" ref="I131:I194" si="10">(G130*$D$5)+(H130*$D$6)+(I130*$D$7)</f>
        <v>0.10678546220910062</v>
      </c>
      <c r="J131" s="3">
        <f t="shared" ref="J131:J194" si="11">1-I131</f>
        <v>0.89321453779089932</v>
      </c>
    </row>
    <row r="132" spans="6:10" ht="15.75" customHeight="1" x14ac:dyDescent="0.25">
      <c r="F132" s="2">
        <v>130</v>
      </c>
      <c r="G132" s="3">
        <f t="shared" si="8"/>
        <v>0.45295990998386937</v>
      </c>
      <c r="H132" s="3">
        <f t="shared" si="9"/>
        <v>0.44012610790228324</v>
      </c>
      <c r="I132" s="3">
        <f t="shared" si="10"/>
        <v>0.10691398211384245</v>
      </c>
      <c r="J132" s="3">
        <f t="shared" si="11"/>
        <v>0.89308601788615749</v>
      </c>
    </row>
    <row r="133" spans="6:10" ht="15.75" customHeight="1" x14ac:dyDescent="0.25">
      <c r="F133" s="2">
        <v>131</v>
      </c>
      <c r="G133" s="3">
        <f t="shared" si="8"/>
        <v>0.45270327030450108</v>
      </c>
      <c r="H133" s="3">
        <f t="shared" si="9"/>
        <v>0.44025800942491888</v>
      </c>
      <c r="I133" s="3">
        <f t="shared" si="10"/>
        <v>0.10703872027057504</v>
      </c>
      <c r="J133" s="3">
        <f t="shared" si="11"/>
        <v>0.89296127972942496</v>
      </c>
    </row>
    <row r="134" spans="6:10" ht="15.75" customHeight="1" x14ac:dyDescent="0.25">
      <c r="F134" s="2">
        <v>132</v>
      </c>
      <c r="G134" s="3">
        <f t="shared" si="8"/>
        <v>0.45245439930016312</v>
      </c>
      <c r="H134" s="3">
        <f t="shared" si="9"/>
        <v>0.44038581493257689</v>
      </c>
      <c r="I134" s="3">
        <f t="shared" si="10"/>
        <v>0.10715978576725492</v>
      </c>
      <c r="J134" s="3">
        <f t="shared" si="11"/>
        <v>0.89284021423274507</v>
      </c>
    </row>
    <row r="135" spans="6:10" ht="15.75" customHeight="1" x14ac:dyDescent="0.25">
      <c r="F135" s="2">
        <v>133</v>
      </c>
      <c r="G135" s="3">
        <f t="shared" si="8"/>
        <v>0.45221305980406179</v>
      </c>
      <c r="H135" s="3">
        <f t="shared" si="9"/>
        <v>0.44050965551879218</v>
      </c>
      <c r="I135" s="3">
        <f t="shared" si="10"/>
        <v>0.10727728467714089</v>
      </c>
      <c r="J135" s="3">
        <f t="shared" si="11"/>
        <v>0.89272271532285907</v>
      </c>
    </row>
    <row r="136" spans="6:10" ht="15.75" customHeight="1" x14ac:dyDescent="0.25">
      <c r="F136" s="2">
        <v>134</v>
      </c>
      <c r="G136" s="3">
        <f t="shared" si="8"/>
        <v>0.45197902200710388</v>
      </c>
      <c r="H136" s="3">
        <f t="shared" si="9"/>
        <v>0.44062965785890024</v>
      </c>
      <c r="I136" s="3">
        <f t="shared" si="10"/>
        <v>0.10739132013399066</v>
      </c>
      <c r="J136" s="3">
        <f t="shared" si="11"/>
        <v>0.89260867986600934</v>
      </c>
    </row>
    <row r="137" spans="6:10" ht="15.75" customHeight="1" x14ac:dyDescent="0.25">
      <c r="F137" s="2">
        <v>135</v>
      </c>
      <c r="G137" s="3">
        <f t="shared" si="8"/>
        <v>0.4517520632228223</v>
      </c>
      <c r="H137" s="3">
        <f t="shared" si="9"/>
        <v>0.44074594437126985</v>
      </c>
      <c r="I137" s="3">
        <f t="shared" si="10"/>
        <v>0.10750199240590255</v>
      </c>
      <c r="J137" s="3">
        <f t="shared" si="11"/>
        <v>0.89249800759409748</v>
      </c>
    </row>
    <row r="138" spans="6:10" ht="15.75" customHeight="1" x14ac:dyDescent="0.25">
      <c r="F138" s="2">
        <v>136</v>
      </c>
      <c r="G138" s="3">
        <f t="shared" si="8"/>
        <v>0.45153196766020159</v>
      </c>
      <c r="H138" s="3">
        <f t="shared" si="9"/>
        <v>0.44085863337200348</v>
      </c>
      <c r="I138" s="3">
        <f t="shared" si="10"/>
        <v>0.10760939896778952</v>
      </c>
      <c r="J138" s="3">
        <f t="shared" si="11"/>
        <v>0.89239060103221046</v>
      </c>
    </row>
    <row r="139" spans="6:10" ht="15.75" customHeight="1" x14ac:dyDescent="0.25">
      <c r="F139" s="2">
        <v>137</v>
      </c>
      <c r="G139" s="3">
        <f t="shared" si="8"/>
        <v>0.45131852620411639</v>
      </c>
      <c r="H139" s="3">
        <f t="shared" si="9"/>
        <v>0.44096783922340149</v>
      </c>
      <c r="I139" s="3">
        <f t="shared" si="10"/>
        <v>0.10771363457247671</v>
      </c>
      <c r="J139" s="3">
        <f t="shared" si="11"/>
        <v>0.89228636542752326</v>
      </c>
    </row>
    <row r="140" spans="6:10" ht="15.75" customHeight="1" x14ac:dyDescent="0.25">
      <c r="F140" s="2">
        <v>138</v>
      </c>
      <c r="G140" s="3">
        <f t="shared" si="8"/>
        <v>0.45111153620310679</v>
      </c>
      <c r="H140" s="3">
        <f t="shared" si="9"/>
        <v>0.44107367247647139</v>
      </c>
      <c r="I140" s="3">
        <f t="shared" si="10"/>
        <v>0.10781479132041637</v>
      </c>
      <c r="J140" s="3">
        <f t="shared" si="11"/>
        <v>0.89218520867958362</v>
      </c>
    </row>
    <row r="141" spans="6:10" ht="15.75" customHeight="1" x14ac:dyDescent="0.25">
      <c r="F141" s="2">
        <v>139</v>
      </c>
      <c r="G141" s="3">
        <f t="shared" si="8"/>
        <v>0.45091080126422722</v>
      </c>
      <c r="H141" s="3">
        <f t="shared" si="9"/>
        <v>0.44117624000774963</v>
      </c>
      <c r="I141" s="3">
        <f t="shared" si="10"/>
        <v>0.10791295872801759</v>
      </c>
      <c r="J141" s="3">
        <f t="shared" si="11"/>
        <v>0.89208704127198235</v>
      </c>
    </row>
    <row r="142" spans="6:10" ht="15.75" customHeight="1" x14ac:dyDescent="0.25">
      <c r="F142" s="2">
        <v>140</v>
      </c>
      <c r="G142" s="3">
        <f t="shared" si="8"/>
        <v>0.45071613105471381</v>
      </c>
      <c r="H142" s="3">
        <f t="shared" si="9"/>
        <v>0.44127564515069023</v>
      </c>
      <c r="I142" s="3">
        <f t="shared" si="10"/>
        <v>0.10800822379459046</v>
      </c>
      <c r="J142" s="3">
        <f t="shared" si="11"/>
        <v>0.89199177620540948</v>
      </c>
    </row>
    <row r="143" spans="6:10" ht="15.75" customHeight="1" x14ac:dyDescent="0.25">
      <c r="F143" s="2">
        <v>141</v>
      </c>
      <c r="G143" s="3">
        <f t="shared" si="8"/>
        <v>0.45052734111022646</v>
      </c>
      <c r="H143" s="3">
        <f t="shared" si="9"/>
        <v>0.44137198782186104</v>
      </c>
      <c r="I143" s="3">
        <f t="shared" si="10"/>
        <v>0.10810067106790691</v>
      </c>
      <c r="J143" s="3">
        <f t="shared" si="11"/>
        <v>0.89189932893209312</v>
      </c>
    </row>
    <row r="144" spans="6:10" ht="15.75" customHeight="1" x14ac:dyDescent="0.25">
      <c r="F144" s="2">
        <v>142</v>
      </c>
      <c r="G144" s="3">
        <f t="shared" si="8"/>
        <v>0.45034425264943301</v>
      </c>
      <c r="H144" s="3">
        <f t="shared" si="9"/>
        <v>0.44146536464217839</v>
      </c>
      <c r="I144" s="3">
        <f t="shared" si="10"/>
        <v>0.10819038270838305</v>
      </c>
      <c r="J144" s="3">
        <f t="shared" si="11"/>
        <v>0.89180961729161701</v>
      </c>
    </row>
    <row r="145" spans="6:10" ht="15.75" customHeight="1" x14ac:dyDescent="0.25">
      <c r="F145" s="2">
        <v>143</v>
      </c>
      <c r="G145" s="3">
        <f t="shared" si="8"/>
        <v>0.45016669239470775</v>
      </c>
      <c r="H145" s="3">
        <f t="shared" si="9"/>
        <v>0.44155586905339728</v>
      </c>
      <c r="I145" s="3">
        <f t="shared" si="10"/>
        <v>0.10827743855188936</v>
      </c>
      <c r="J145" s="3">
        <f t="shared" si="11"/>
        <v>0.89172256144811068</v>
      </c>
    </row>
    <row r="146" spans="6:10" ht="15.75" customHeight="1" x14ac:dyDescent="0.25">
      <c r="F146" s="2">
        <v>144</v>
      </c>
      <c r="G146" s="3">
        <f t="shared" si="8"/>
        <v>0.44999449239873107</v>
      </c>
      <c r="H146" s="3">
        <f t="shared" si="9"/>
        <v>0.44164359143006598</v>
      </c>
      <c r="I146" s="3">
        <f t="shared" si="10"/>
        <v>0.1083619161711973</v>
      </c>
      <c r="J146" s="3">
        <f t="shared" si="11"/>
        <v>0.89163808382880272</v>
      </c>
    </row>
    <row r="147" spans="6:10" ht="15.75" customHeight="1" x14ac:dyDescent="0.25">
      <c r="F147" s="2">
        <v>145</v>
      </c>
      <c r="G147" s="3">
        <f t="shared" si="8"/>
        <v>0.44982748987678012</v>
      </c>
      <c r="H147" s="3">
        <f t="shared" si="9"/>
        <v>0.44172861918714179</v>
      </c>
      <c r="I147" s="3">
        <f t="shared" si="10"/>
        <v>0.10844389093607239</v>
      </c>
      <c r="J147" s="3">
        <f t="shared" si="11"/>
        <v>0.89155610906392757</v>
      </c>
    </row>
    <row r="148" spans="6:10" ht="15.75" customHeight="1" x14ac:dyDescent="0.25">
      <c r="F148" s="2">
        <v>146</v>
      </c>
      <c r="G148" s="3">
        <f t="shared" si="8"/>
        <v>0.44966552704451201</v>
      </c>
      <c r="H148" s="3">
        <f t="shared" si="9"/>
        <v>0.44181103688345663</v>
      </c>
      <c r="I148" s="3">
        <f t="shared" si="10"/>
        <v>0.10852343607202558</v>
      </c>
      <c r="J148" s="3">
        <f t="shared" si="11"/>
        <v>0.89147656392797447</v>
      </c>
    </row>
    <row r="149" spans="6:10" ht="15.75" customHeight="1" x14ac:dyDescent="0.25">
      <c r="F149" s="2">
        <v>147</v>
      </c>
      <c r="G149" s="3">
        <f t="shared" si="8"/>
        <v>0.44950845096104747</v>
      </c>
      <c r="H149" s="3">
        <f t="shared" si="9"/>
        <v>0.44189092632121107</v>
      </c>
      <c r="I149" s="3">
        <f t="shared" si="10"/>
        <v>0.10860062271773568</v>
      </c>
      <c r="J149" s="3">
        <f t="shared" si="11"/>
        <v>0.89139937728226437</v>
      </c>
    </row>
    <row r="150" spans="6:10" ht="15.75" customHeight="1" x14ac:dyDescent="0.25">
      <c r="F150" s="2">
        <v>148</v>
      </c>
      <c r="G150" s="3">
        <f t="shared" si="8"/>
        <v>0.44935611337716969</v>
      </c>
      <c r="H150" s="3">
        <f t="shared" si="9"/>
        <v>0.44196836664166722</v>
      </c>
      <c r="I150" s="3">
        <f t="shared" si="10"/>
        <v>0.10867551998115732</v>
      </c>
      <c r="J150" s="3">
        <f t="shared" si="11"/>
        <v>0.89132448001884268</v>
      </c>
    </row>
    <row r="151" spans="6:10" ht="15.75" customHeight="1" x14ac:dyDescent="0.25">
      <c r="F151" s="2">
        <v>149</v>
      </c>
      <c r="G151" s="3">
        <f t="shared" si="8"/>
        <v>0.44920837058846147</v>
      </c>
      <c r="H151" s="3">
        <f t="shared" si="9"/>
        <v>0.44204343441720312</v>
      </c>
      <c r="I151" s="3">
        <f t="shared" si="10"/>
        <v>0.10874819499432953</v>
      </c>
      <c r="J151" s="3">
        <f t="shared" si="11"/>
        <v>0.89125180500567047</v>
      </c>
    </row>
    <row r="152" spans="6:10" ht="15.75" customHeight="1" x14ac:dyDescent="0.25">
      <c r="F152" s="2">
        <v>150</v>
      </c>
      <c r="G152" s="3">
        <f t="shared" si="8"/>
        <v>0.44906508329320943</v>
      </c>
      <c r="H152" s="3">
        <f t="shared" si="9"/>
        <v>0.44211620373988308</v>
      </c>
      <c r="I152" s="3">
        <f t="shared" si="10"/>
        <v>0.1088187129669015</v>
      </c>
      <c r="J152" s="3">
        <f t="shared" si="11"/>
        <v>0.89118128703309851</v>
      </c>
    </row>
    <row r="153" spans="6:10" ht="15.75" customHeight="1" x14ac:dyDescent="0.25">
      <c r="F153" s="2">
        <v>151</v>
      </c>
      <c r="G153" s="3">
        <f t="shared" si="8"/>
        <v>0.44892611645491104</v>
      </c>
      <c r="H153" s="3">
        <f t="shared" si="9"/>
        <v>0.44218674630669058</v>
      </c>
      <c r="I153" s="3">
        <f t="shared" si="10"/>
        <v>0.10888713723839237</v>
      </c>
      <c r="J153" s="3">
        <f t="shared" si="11"/>
        <v>0.89111286276160762</v>
      </c>
    </row>
    <row r="154" spans="6:10" ht="15.75" customHeight="1" x14ac:dyDescent="0.25">
      <c r="F154" s="2">
        <v>152</v>
      </c>
      <c r="G154" s="3">
        <f t="shared" si="8"/>
        <v>0.44879133916922614</v>
      </c>
      <c r="H154" s="3">
        <f t="shared" si="9"/>
        <v>0.4422551315015647</v>
      </c>
      <c r="I154" s="3">
        <f t="shared" si="10"/>
        <v>0.10895352932920309</v>
      </c>
      <c r="J154" s="3">
        <f t="shared" si="11"/>
        <v>0.8910464706707969</v>
      </c>
    </row>
    <row r="155" spans="6:10" ht="15.75" customHeight="1" x14ac:dyDescent="0.25">
      <c r="F155" s="2">
        <v>153</v>
      </c>
      <c r="G155" s="3">
        <f t="shared" si="8"/>
        <v>0.44866062453522115</v>
      </c>
      <c r="H155" s="3">
        <f t="shared" si="9"/>
        <v>0.44232142647437378</v>
      </c>
      <c r="I155" s="3">
        <f t="shared" si="10"/>
        <v>0.10901794899039889</v>
      </c>
      <c r="J155" s="3">
        <f t="shared" si="11"/>
        <v>0.89098205100960115</v>
      </c>
    </row>
    <row r="156" spans="6:10" ht="15.75" customHeight="1" x14ac:dyDescent="0.25">
      <c r="F156" s="2">
        <v>154</v>
      </c>
      <c r="G156" s="3">
        <f t="shared" si="8"/>
        <v>0.44853384953075903</v>
      </c>
      <c r="H156" s="3">
        <f t="shared" si="9"/>
        <v>0.44238569621695328</v>
      </c>
      <c r="I156" s="3">
        <f t="shared" si="10"/>
        <v>0.10908045425228147</v>
      </c>
      <c r="J156" s="3">
        <f t="shared" si="11"/>
        <v>0.89091954574771859</v>
      </c>
    </row>
    <row r="157" spans="6:10" ht="15.75" customHeight="1" x14ac:dyDescent="0.25">
      <c r="F157" s="2">
        <v>155</v>
      </c>
      <c r="G157" s="3">
        <f t="shared" si="8"/>
        <v>0.44841089489189345</v>
      </c>
      <c r="H157" s="3">
        <f t="shared" si="9"/>
        <v>0.44244800363632991</v>
      </c>
      <c r="I157" s="3">
        <f t="shared" si="10"/>
        <v>0.10914110147177032</v>
      </c>
      <c r="J157" s="3">
        <f t="shared" si="11"/>
        <v>0.89085889852822964</v>
      </c>
    </row>
    <row r="158" spans="6:10" ht="15.75" customHeight="1" x14ac:dyDescent="0.25">
      <c r="F158" s="2">
        <v>156</v>
      </c>
      <c r="G158" s="3">
        <f t="shared" si="8"/>
        <v>0.44829164499613283</v>
      </c>
      <c r="H158" s="3">
        <f t="shared" si="9"/>
        <v>0.4425084096252474</v>
      </c>
      <c r="I158" s="3">
        <f t="shared" si="10"/>
        <v>0.10919994537861342</v>
      </c>
      <c r="J158" s="3">
        <f t="shared" si="11"/>
        <v>0.89080005462138656</v>
      </c>
    </row>
    <row r="159" spans="6:10" ht="15.75" customHeight="1" x14ac:dyDescent="0.25">
      <c r="F159" s="2">
        <v>157</v>
      </c>
      <c r="G159" s="3">
        <f t="shared" si="8"/>
        <v>0.44817598774944117</v>
      </c>
      <c r="H159" s="3">
        <f t="shared" si="9"/>
        <v>0.44256697313010512</v>
      </c>
      <c r="I159" s="3">
        <f t="shared" si="10"/>
        <v>0.10925703912044737</v>
      </c>
      <c r="J159" s="3">
        <f t="shared" si="11"/>
        <v>0.89074296087955263</v>
      </c>
    </row>
    <row r="160" spans="6:10" ht="15.75" customHeight="1" x14ac:dyDescent="0.25">
      <c r="F160" s="2">
        <v>158</v>
      </c>
      <c r="G160" s="3">
        <f t="shared" si="8"/>
        <v>0.44806381447685156</v>
      </c>
      <c r="H160" s="3">
        <f t="shared" si="9"/>
        <v>0.44262375121641445</v>
      </c>
      <c r="I160" s="3">
        <f t="shared" si="10"/>
        <v>0.10931243430672763</v>
      </c>
      <c r="J160" s="3">
        <f t="shared" si="11"/>
        <v>0.89068756569327234</v>
      </c>
    </row>
    <row r="161" spans="6:10" ht="15.75" customHeight="1" x14ac:dyDescent="0.25">
      <c r="F161" s="2">
        <v>159</v>
      </c>
      <c r="G161" s="3">
        <f t="shared" si="8"/>
        <v>0.44795501981656988</v>
      </c>
      <c r="H161" s="3">
        <f t="shared" si="9"/>
        <v>0.44267879913187391</v>
      </c>
      <c r="I161" s="3">
        <f t="shared" si="10"/>
        <v>0.10936618105154974</v>
      </c>
      <c r="J161" s="3">
        <f t="shared" si="11"/>
        <v>0.89063381894845028</v>
      </c>
    </row>
    <row r="162" spans="6:10" ht="15.75" customHeight="1" x14ac:dyDescent="0.25">
      <c r="F162" s="2">
        <v>160</v>
      </c>
      <c r="G162" s="3">
        <f t="shared" si="8"/>
        <v>0.44784950161745185</v>
      </c>
      <c r="H162" s="3">
        <f t="shared" si="9"/>
        <v>0.44273217036715928</v>
      </c>
      <c r="I162" s="3">
        <f t="shared" si="10"/>
        <v>0.10941832801538239</v>
      </c>
      <c r="J162" s="3">
        <f t="shared" si="11"/>
        <v>0.89058167198461757</v>
      </c>
    </row>
    <row r="163" spans="6:10" ht="15.75" customHeight="1" x14ac:dyDescent="0.25">
      <c r="F163" s="2">
        <v>161</v>
      </c>
      <c r="G163" s="3">
        <f t="shared" si="8"/>
        <v>0.44774716083974042</v>
      </c>
      <c r="H163" s="3">
        <f t="shared" si="9"/>
        <v>0.44278391671451989</v>
      </c>
      <c r="I163" s="3">
        <f t="shared" si="10"/>
        <v>0.10946892244573314</v>
      </c>
      <c r="J163" s="3">
        <f t="shared" si="11"/>
        <v>0.89053107755426686</v>
      </c>
    </row>
    <row r="164" spans="6:10" ht="15.75" customHeight="1" x14ac:dyDescent="0.25">
      <c r="F164" s="2">
        <v>162</v>
      </c>
      <c r="G164" s="3">
        <f t="shared" si="8"/>
        <v>0.44764790145895533</v>
      </c>
      <c r="H164" s="3">
        <f t="shared" si="9"/>
        <v>0.44283408832426968</v>
      </c>
      <c r="I164" s="3">
        <f t="shared" si="10"/>
        <v>0.10951801021676837</v>
      </c>
      <c r="J164" s="3">
        <f t="shared" si="11"/>
        <v>0.89048198978323168</v>
      </c>
    </row>
    <row r="165" spans="6:10" ht="15.75" customHeight="1" x14ac:dyDescent="0.25">
      <c r="F165" s="2">
        <v>163</v>
      </c>
      <c r="G165" s="3">
        <f t="shared" si="8"/>
        <v>0.4475516303728293</v>
      </c>
      <c r="H165" s="3">
        <f t="shared" si="9"/>
        <v>0.44288273375925591</v>
      </c>
      <c r="I165" s="3">
        <f t="shared" si="10"/>
        <v>0.10956563586790806</v>
      </c>
      <c r="J165" s="3">
        <f t="shared" si="11"/>
        <v>0.89043436413209198</v>
      </c>
    </row>
    <row r="166" spans="6:10" ht="15.75" customHeight="1" x14ac:dyDescent="0.25">
      <c r="F166" s="2">
        <v>164</v>
      </c>
      <c r="G166" s="3">
        <f t="shared" si="8"/>
        <v>0.44745825731119043</v>
      </c>
      <c r="H166" s="3">
        <f t="shared" si="9"/>
        <v>0.44292990004738592</v>
      </c>
      <c r="I166" s="3">
        <f t="shared" si="10"/>
        <v>0.10961184264141688</v>
      </c>
      <c r="J166" s="3">
        <f t="shared" si="11"/>
        <v>0.89038815735858312</v>
      </c>
    </row>
    <row r="167" spans="6:10" ht="15.75" customHeight="1" x14ac:dyDescent="0.25">
      <c r="F167" s="2">
        <v>165</v>
      </c>
      <c r="G167" s="3">
        <f t="shared" si="8"/>
        <v>0.44736769474869253</v>
      </c>
      <c r="H167" s="3">
        <f t="shared" si="9"/>
        <v>0.4429756327322884</v>
      </c>
      <c r="I167" s="3">
        <f t="shared" si="10"/>
        <v>0.10965667251901226</v>
      </c>
      <c r="J167" s="3">
        <f t="shared" si="11"/>
        <v>0.89034332748098777</v>
      </c>
    </row>
    <row r="168" spans="6:10" ht="15.75" customHeight="1" x14ac:dyDescent="0.25">
      <c r="F168" s="2">
        <v>166</v>
      </c>
      <c r="G168" s="3">
        <f t="shared" si="8"/>
        <v>0.44727985782030044</v>
      </c>
      <c r="H168" s="3">
        <f t="shared" si="9"/>
        <v>0.44301997592218206</v>
      </c>
      <c r="I168" s="3">
        <f t="shared" si="10"/>
        <v>0.10970016625751067</v>
      </c>
      <c r="J168" s="3">
        <f t="shared" si="11"/>
        <v>0.89029983374248933</v>
      </c>
    </row>
    <row r="169" spans="6:10" ht="15.75" customHeight="1" x14ac:dyDescent="0.25">
      <c r="F169" s="2">
        <v>167</v>
      </c>
      <c r="G169" s="3">
        <f t="shared" si="8"/>
        <v>0.44719466423943866</v>
      </c>
      <c r="H169" s="3">
        <f t="shared" si="9"/>
        <v>0.44306297233702185</v>
      </c>
      <c r="I169" s="3">
        <f t="shared" si="10"/>
        <v>0.10974236342353265</v>
      </c>
      <c r="J169" s="3">
        <f t="shared" si="11"/>
        <v>0.89025763657646739</v>
      </c>
    </row>
    <row r="170" spans="6:10" ht="15.75" customHeight="1" x14ac:dyDescent="0.25">
      <c r="F170" s="2">
        <v>168</v>
      </c>
      <c r="G170" s="3">
        <f t="shared" si="8"/>
        <v>0.44711203421871626</v>
      </c>
      <c r="H170" s="3">
        <f t="shared" si="9"/>
        <v>0.44310466335398935</v>
      </c>
      <c r="I170" s="3">
        <f t="shared" si="10"/>
        <v>0.10978330242728751</v>
      </c>
      <c r="J170" s="3">
        <f t="shared" si="11"/>
        <v>0.89021669757271249</v>
      </c>
    </row>
    <row r="171" spans="6:10" ht="15.75" customHeight="1" x14ac:dyDescent="0.25">
      <c r="F171" s="2">
        <v>169</v>
      </c>
      <c r="G171" s="3">
        <f t="shared" si="8"/>
        <v>0.44703189039314373</v>
      </c>
      <c r="H171" s="3">
        <f t="shared" si="9"/>
        <v>0.44314508905139149</v>
      </c>
      <c r="I171" s="3">
        <f t="shared" si="10"/>
        <v>0.10982302055545788</v>
      </c>
      <c r="J171" s="3">
        <f t="shared" si="11"/>
        <v>0.8901769794445421</v>
      </c>
    </row>
    <row r="172" spans="6:10" ht="15.75" customHeight="1" x14ac:dyDescent="0.25">
      <c r="F172" s="2">
        <v>170</v>
      </c>
      <c r="G172" s="3">
        <f t="shared" si="8"/>
        <v>0.44695415774575986</v>
      </c>
      <c r="H172" s="3">
        <f t="shared" si="9"/>
        <v>0.44318428825102846</v>
      </c>
      <c r="I172" s="3">
        <f t="shared" si="10"/>
        <v>0.10986155400320469</v>
      </c>
      <c r="J172" s="3">
        <f t="shared" si="11"/>
        <v>0.89013844599679537</v>
      </c>
    </row>
    <row r="173" spans="6:10" ht="15.75" customHeight="1" x14ac:dyDescent="0.25">
      <c r="F173" s="2">
        <v>171</v>
      </c>
      <c r="G173" s="3">
        <f t="shared" si="8"/>
        <v>0.44687876353559086</v>
      </c>
      <c r="H173" s="3">
        <f t="shared" si="9"/>
        <v>0.44322229855908962</v>
      </c>
      <c r="I173" s="3">
        <f t="shared" si="10"/>
        <v>0.10989893790531242</v>
      </c>
      <c r="J173" s="3">
        <f t="shared" si="11"/>
        <v>0.89010106209468753</v>
      </c>
    </row>
    <row r="174" spans="6:10" ht="15.75" customHeight="1" x14ac:dyDescent="0.25">
      <c r="F174" s="2">
        <v>172</v>
      </c>
      <c r="G174" s="3">
        <f t="shared" si="8"/>
        <v>0.44680563722786465</v>
      </c>
      <c r="H174" s="3">
        <f t="shared" si="9"/>
        <v>0.44325915640563346</v>
      </c>
      <c r="I174" s="3">
        <f t="shared" si="10"/>
        <v>0.10993520636649468</v>
      </c>
      <c r="J174" s="3">
        <f t="shared" si="11"/>
        <v>0.89006479363350532</v>
      </c>
    </row>
    <row r="175" spans="6:10" ht="15.75" customHeight="1" x14ac:dyDescent="0.25">
      <c r="F175" s="2">
        <v>173</v>
      </c>
      <c r="G175" s="3">
        <f t="shared" si="8"/>
        <v>0.44673471042640822</v>
      </c>
      <c r="H175" s="3">
        <f t="shared" si="9"/>
        <v>0.44329489708270498</v>
      </c>
      <c r="I175" s="3">
        <f t="shared" si="10"/>
        <v>0.10997039249087946</v>
      </c>
      <c r="J175" s="3">
        <f t="shared" si="11"/>
        <v>0.89002960750912052</v>
      </c>
    </row>
    <row r="176" spans="6:10" ht="15.75" customHeight="1" x14ac:dyDescent="0.25">
      <c r="F176" s="2">
        <v>174</v>
      </c>
      <c r="G176" s="3">
        <f t="shared" si="8"/>
        <v>0.44666591680815659</v>
      </c>
      <c r="H176" s="3">
        <f t="shared" si="9"/>
        <v>0.44332955478114222</v>
      </c>
      <c r="I176" s="3">
        <f t="shared" si="10"/>
        <v>0.11000452841069377</v>
      </c>
      <c r="J176" s="3">
        <f t="shared" si="11"/>
        <v>0.88999547158930625</v>
      </c>
    </row>
    <row r="177" spans="6:10" ht="15.75" customHeight="1" x14ac:dyDescent="0.25">
      <c r="F177" s="2">
        <v>175</v>
      </c>
      <c r="G177" s="3">
        <f t="shared" si="8"/>
        <v>0.44659919205970516</v>
      </c>
      <c r="H177" s="3">
        <f t="shared" si="9"/>
        <v>0.44336316262612108</v>
      </c>
      <c r="I177" s="3">
        <f t="shared" si="10"/>
        <v>0.11003764531416631</v>
      </c>
      <c r="J177" s="3">
        <f t="shared" si="11"/>
        <v>0.88996235468583373</v>
      </c>
    </row>
    <row r="178" spans="6:10" ht="15.75" customHeight="1" x14ac:dyDescent="0.25">
      <c r="F178" s="2">
        <v>176</v>
      </c>
      <c r="G178" s="3">
        <f t="shared" si="8"/>
        <v>0.44653447381583988</v>
      </c>
      <c r="H178" s="3">
        <f t="shared" si="9"/>
        <v>0.44339575271148535</v>
      </c>
      <c r="I178" s="3">
        <f t="shared" si="10"/>
        <v>0.11006977347266726</v>
      </c>
      <c r="J178" s="3">
        <f t="shared" si="11"/>
        <v>0.88993022652733278</v>
      </c>
    </row>
    <row r="179" spans="6:10" ht="15.75" customHeight="1" x14ac:dyDescent="0.25">
      <c r="F179" s="2">
        <v>177</v>
      </c>
      <c r="G179" s="3">
        <f t="shared" si="8"/>
        <v>0.44647170159998112</v>
      </c>
      <c r="H179" s="3">
        <f t="shared" si="9"/>
        <v>0.44342735613290751</v>
      </c>
      <c r="I179" s="3">
        <f t="shared" si="10"/>
        <v>0.11010094226710378</v>
      </c>
      <c r="J179" s="3">
        <f t="shared" si="11"/>
        <v>0.88989905773289624</v>
      </c>
    </row>
    <row r="180" spans="6:10" ht="15.75" customHeight="1" x14ac:dyDescent="0.25">
      <c r="F180" s="2">
        <v>178</v>
      </c>
      <c r="G180" s="3">
        <f t="shared" si="8"/>
        <v>0.44641081676647992</v>
      </c>
      <c r="H180" s="3">
        <f t="shared" si="9"/>
        <v>0.44345800301992355</v>
      </c>
      <c r="I180" s="3">
        <f t="shared" si="10"/>
        <v>0.11013118021358895</v>
      </c>
      <c r="J180" s="3">
        <f t="shared" si="11"/>
        <v>0.88986881978641108</v>
      </c>
    </row>
    <row r="181" spans="6:10" ht="15.75" customHeight="1" x14ac:dyDescent="0.25">
      <c r="F181" s="2">
        <v>179</v>
      </c>
      <c r="G181" s="3">
        <f t="shared" si="8"/>
        <v>0.44635176244470687</v>
      </c>
      <c r="H181" s="3">
        <f t="shared" si="9"/>
        <v>0.44348772256688274</v>
      </c>
      <c r="I181" s="3">
        <f t="shared" si="10"/>
        <v>0.11016051498840272</v>
      </c>
      <c r="J181" s="3">
        <f t="shared" si="11"/>
        <v>0.88983948501159726</v>
      </c>
    </row>
    <row r="182" spans="6:10" ht="15.75" customHeight="1" x14ac:dyDescent="0.25">
      <c r="F182" s="2">
        <v>180</v>
      </c>
      <c r="G182" s="3">
        <f t="shared" si="8"/>
        <v>0.44629448348487682</v>
      </c>
      <c r="H182" s="3">
        <f t="shared" si="9"/>
        <v>0.44351654306285354</v>
      </c>
      <c r="I182" s="3">
        <f t="shared" si="10"/>
        <v>0.11018897345226189</v>
      </c>
      <c r="J182" s="3">
        <f t="shared" si="11"/>
        <v>0.88981102654773814</v>
      </c>
    </row>
    <row r="183" spans="6:10" ht="15.75" customHeight="1" x14ac:dyDescent="0.25">
      <c r="F183" s="2">
        <v>181</v>
      </c>
      <c r="G183" s="3">
        <f t="shared" si="8"/>
        <v>0.44623892640555318</v>
      </c>
      <c r="H183" s="3">
        <f t="shared" si="9"/>
        <v>0.44354449192052225</v>
      </c>
      <c r="I183" s="3">
        <f t="shared" si="10"/>
        <v>0.11021658167391676</v>
      </c>
      <c r="J183" s="3">
        <f t="shared" si="11"/>
        <v>0.88978341832608321</v>
      </c>
    </row>
    <row r="184" spans="6:10" ht="15.75" customHeight="1" x14ac:dyDescent="0.25">
      <c r="F184" s="2">
        <v>182</v>
      </c>
      <c r="G184" s="3">
        <f t="shared" si="8"/>
        <v>0.44618503934277859</v>
      </c>
      <c r="H184" s="3">
        <f t="shared" si="9"/>
        <v>0.44357159570412225</v>
      </c>
      <c r="I184" s="3">
        <f t="shared" si="10"/>
        <v>0.11024336495309132</v>
      </c>
      <c r="J184" s="3">
        <f t="shared" si="11"/>
        <v>0.88975663504690872</v>
      </c>
    </row>
    <row r="185" spans="6:10" ht="15.75" customHeight="1" x14ac:dyDescent="0.25">
      <c r="F185" s="2">
        <v>183</v>
      </c>
      <c r="G185" s="3">
        <f t="shared" si="8"/>
        <v>0.44613277200078016</v>
      </c>
      <c r="H185" s="3">
        <f t="shared" si="9"/>
        <v>0.44359788015642837</v>
      </c>
      <c r="I185" s="3">
        <f t="shared" si="10"/>
        <v>0.11026934784278358</v>
      </c>
      <c r="J185" s="3">
        <f t="shared" si="11"/>
        <v>0.88973065215721636</v>
      </c>
    </row>
    <row r="186" spans="6:10" ht="15.75" customHeight="1" x14ac:dyDescent="0.25">
      <c r="F186" s="2">
        <v>184</v>
      </c>
      <c r="G186" s="3">
        <f t="shared" si="8"/>
        <v>0.44608207560419905</v>
      </c>
      <c r="H186" s="3">
        <f t="shared" si="9"/>
        <v>0.4436233702248506</v>
      </c>
      <c r="I186" s="3">
        <f t="shared" si="10"/>
        <v>0.11029455417094242</v>
      </c>
      <c r="J186" s="3">
        <f t="shared" si="11"/>
        <v>0.88970544582905764</v>
      </c>
    </row>
    <row r="187" spans="6:10" ht="15.75" customHeight="1" x14ac:dyDescent="0.25">
      <c r="F187" s="2">
        <v>185</v>
      </c>
      <c r="G187" s="3">
        <f t="shared" si="8"/>
        <v>0.44603290285179586</v>
      </c>
      <c r="H187" s="3">
        <f t="shared" si="9"/>
        <v>0.44364809008665906</v>
      </c>
      <c r="I187" s="3">
        <f t="shared" si="10"/>
        <v>0.11031900706153704</v>
      </c>
      <c r="J187" s="3">
        <f t="shared" si="11"/>
        <v>0.88968099293846292</v>
      </c>
    </row>
    <row r="188" spans="6:10" ht="15.75" customHeight="1" x14ac:dyDescent="0.25">
      <c r="F188" s="2">
        <v>186</v>
      </c>
      <c r="G188" s="3">
        <f t="shared" si="8"/>
        <v>0.44598520787158563</v>
      </c>
      <c r="H188" s="3">
        <f t="shared" si="9"/>
        <v>0.44367206317337177</v>
      </c>
      <c r="I188" s="3">
        <f t="shared" si="10"/>
        <v>0.11034272895503461</v>
      </c>
      <c r="J188" s="3">
        <f t="shared" si="11"/>
        <v>0.88965727104496539</v>
      </c>
    </row>
    <row r="189" spans="6:10" ht="15.75" customHeight="1" x14ac:dyDescent="0.25">
      <c r="F189" s="2">
        <v>187</v>
      </c>
      <c r="G189" s="3">
        <f t="shared" si="8"/>
        <v>0.44593894617735585</v>
      </c>
      <c r="H189" s="3">
        <f t="shared" si="9"/>
        <v>0.44369531219433472</v>
      </c>
      <c r="I189" s="3">
        <f t="shared" si="10"/>
        <v>0.11036574162830143</v>
      </c>
      <c r="J189" s="3">
        <f t="shared" si="11"/>
        <v>0.88963425837169852</v>
      </c>
    </row>
    <row r="190" spans="6:10" ht="15.75" customHeight="1" x14ac:dyDescent="0.25">
      <c r="F190" s="2">
        <v>188</v>
      </c>
      <c r="G190" s="3">
        <f t="shared" si="8"/>
        <v>0.44589407462652564</v>
      </c>
      <c r="H190" s="3">
        <f t="shared" si="9"/>
        <v>0.44371785915952344</v>
      </c>
      <c r="I190" s="3">
        <f t="shared" si="10"/>
        <v>0.1103880662139429</v>
      </c>
      <c r="J190" s="3">
        <f t="shared" si="11"/>
        <v>0.88961193378605707</v>
      </c>
    </row>
    <row r="191" spans="6:10" ht="15.75" customHeight="1" x14ac:dyDescent="0.25">
      <c r="F191" s="2">
        <v>189</v>
      </c>
      <c r="G191" s="3">
        <f t="shared" si="8"/>
        <v>0.44585055137930191</v>
      </c>
      <c r="H191" s="3">
        <f t="shared" si="9"/>
        <v>0.44373972540159329</v>
      </c>
      <c r="I191" s="3">
        <f t="shared" si="10"/>
        <v>0.11040972321909674</v>
      </c>
      <c r="J191" s="3">
        <f t="shared" si="11"/>
        <v>0.8895902767809033</v>
      </c>
    </row>
    <row r="192" spans="6:10" ht="15.75" customHeight="1" x14ac:dyDescent="0.25">
      <c r="F192" s="2">
        <v>190</v>
      </c>
      <c r="G192" s="3">
        <f t="shared" si="8"/>
        <v>0.44580833585909296</v>
      </c>
      <c r="H192" s="3">
        <f t="shared" si="9"/>
        <v>0.44376093159720487</v>
      </c>
      <c r="I192" s="3">
        <f t="shared" si="10"/>
        <v>0.11043073254369405</v>
      </c>
      <c r="J192" s="3">
        <f t="shared" si="11"/>
        <v>0.88956926745630593</v>
      </c>
    </row>
    <row r="193" spans="6:10" ht="15.75" customHeight="1" x14ac:dyDescent="0.25">
      <c r="F193" s="2">
        <v>191</v>
      </c>
      <c r="G193" s="3">
        <f t="shared" si="8"/>
        <v>0.44576738871413907</v>
      </c>
      <c r="H193" s="3">
        <f t="shared" si="9"/>
        <v>0.44378149778765041</v>
      </c>
      <c r="I193" s="3">
        <f t="shared" si="10"/>
        <v>0.11045111349820227</v>
      </c>
      <c r="J193" s="3">
        <f t="shared" si="11"/>
        <v>0.88954888650179775</v>
      </c>
    </row>
    <row r="194" spans="6:10" ht="15.75" customHeight="1" x14ac:dyDescent="0.25">
      <c r="F194" s="2">
        <v>192</v>
      </c>
      <c r="G194" s="3">
        <f t="shared" si="8"/>
        <v>0.44572767178032241</v>
      </c>
      <c r="H194" s="3">
        <f t="shared" si="9"/>
        <v>0.44380144339880545</v>
      </c>
      <c r="I194" s="3">
        <f t="shared" si="10"/>
        <v>0.11047088482086384</v>
      </c>
      <c r="J194" s="3">
        <f t="shared" si="11"/>
        <v>0.88952911517913613</v>
      </c>
    </row>
    <row r="195" spans="6:10" ht="15.75" customHeight="1" x14ac:dyDescent="0.25">
      <c r="F195" s="2">
        <v>193</v>
      </c>
      <c r="G195" s="3">
        <f t="shared" ref="G195:G258" si="12">(G194*$B$5)+(H194*$B$6)+(I194*$B$7)</f>
        <v>0.44568914804511867</v>
      </c>
      <c r="H195" s="3">
        <f t="shared" ref="H195:H258" si="13">(G194*$C$5)+(H194*$C$6)+(I194*$C$7)</f>
        <v>0.44382078726042901</v>
      </c>
      <c r="I195" s="3">
        <f t="shared" ref="I195:I258" si="14">(G194*$D$5)+(H194*$D$6)+(I194*$D$7)</f>
        <v>0.11049006469444395</v>
      </c>
      <c r="J195" s="3">
        <f t="shared" ref="J195:J258" si="15">1-I195</f>
        <v>0.889509935305556</v>
      </c>
    </row>
    <row r="196" spans="6:10" ht="15.75" customHeight="1" x14ac:dyDescent="0.25">
      <c r="F196" s="2">
        <v>194</v>
      </c>
      <c r="G196" s="3">
        <f t="shared" si="12"/>
        <v>0.44565178161265512</v>
      </c>
      <c r="H196" s="3">
        <f t="shared" si="13"/>
        <v>0.4438395476248358</v>
      </c>
      <c r="I196" s="3">
        <f t="shared" si="14"/>
        <v>0.11050867076250068</v>
      </c>
      <c r="J196" s="3">
        <f t="shared" si="15"/>
        <v>0.8894913292374993</v>
      </c>
    </row>
    <row r="197" spans="6:10" ht="15.75" customHeight="1" x14ac:dyDescent="0.25">
      <c r="F197" s="2">
        <v>195</v>
      </c>
      <c r="G197" s="3">
        <f t="shared" si="12"/>
        <v>0.44561553766984008</v>
      </c>
      <c r="H197" s="3">
        <f t="shared" si="13"/>
        <v>0.44385774218496121</v>
      </c>
      <c r="I197" s="3">
        <f t="shared" si="14"/>
        <v>0.1105267201451903</v>
      </c>
      <c r="J197" s="3">
        <f t="shared" si="15"/>
        <v>0.88947327985480973</v>
      </c>
    </row>
    <row r="198" spans="6:10" ht="15.75" customHeight="1" x14ac:dyDescent="0.25">
      <c r="F198" s="2">
        <v>196</v>
      </c>
      <c r="G198" s="3">
        <f t="shared" si="12"/>
        <v>0.44558038245353054</v>
      </c>
      <c r="H198" s="3">
        <f t="shared" si="13"/>
        <v>0.44387538809184063</v>
      </c>
      <c r="I198" s="3">
        <f t="shared" si="14"/>
        <v>0.11054422945462036</v>
      </c>
      <c r="J198" s="3">
        <f t="shared" si="15"/>
        <v>0.88945577054537961</v>
      </c>
    </row>
    <row r="199" spans="6:10" ht="15.75" customHeight="1" x14ac:dyDescent="0.25">
      <c r="F199" s="2">
        <v>197</v>
      </c>
      <c r="G199" s="3">
        <f t="shared" si="12"/>
        <v>0.44554628321870554</v>
      </c>
      <c r="H199" s="3">
        <f t="shared" si="13"/>
        <v>0.44389250197152319</v>
      </c>
      <c r="I199" s="3">
        <f t="shared" si="14"/>
        <v>0.11056121480976278</v>
      </c>
      <c r="J199" s="3">
        <f t="shared" si="15"/>
        <v>0.88943878519023722</v>
      </c>
    </row>
    <row r="200" spans="6:10" ht="15.75" customHeight="1" x14ac:dyDescent="0.25">
      <c r="F200" s="2">
        <v>198</v>
      </c>
      <c r="G200" s="3">
        <f t="shared" si="12"/>
        <v>0.44551320820761336</v>
      </c>
      <c r="H200" s="3">
        <f t="shared" si="13"/>
        <v>0.44390909994143918</v>
      </c>
      <c r="I200" s="3">
        <f t="shared" si="14"/>
        <v>0.11057769185093896</v>
      </c>
      <c r="J200" s="3">
        <f t="shared" si="15"/>
        <v>0.88942230814906109</v>
      </c>
    </row>
    <row r="201" spans="6:10" ht="15.75" customHeight="1" x14ac:dyDescent="0.25">
      <c r="F201" s="2">
        <v>199</v>
      </c>
      <c r="G201" s="3">
        <f t="shared" si="12"/>
        <v>0.44548112661986272</v>
      </c>
      <c r="H201" s="3">
        <f t="shared" si="13"/>
        <v>0.44392519762624005</v>
      </c>
      <c r="I201" s="3">
        <f t="shared" si="14"/>
        <v>0.11059367575388865</v>
      </c>
      <c r="J201" s="3">
        <f t="shared" si="15"/>
        <v>0.88940632424611132</v>
      </c>
    </row>
    <row r="202" spans="6:10" ht="15.75" customHeight="1" x14ac:dyDescent="0.25">
      <c r="F202" s="2">
        <v>200</v>
      </c>
      <c r="G202" s="3">
        <f t="shared" si="12"/>
        <v>0.44545000858342859</v>
      </c>
      <c r="H202" s="3">
        <f t="shared" si="13"/>
        <v>0.44394081017312903</v>
      </c>
      <c r="I202" s="3">
        <f t="shared" si="14"/>
        <v>0.11060918124343379</v>
      </c>
      <c r="J202" s="3">
        <f t="shared" si="15"/>
        <v>0.88939081875656623</v>
      </c>
    </row>
    <row r="203" spans="6:10" ht="15.75" customHeight="1" x14ac:dyDescent="0.25">
      <c r="F203" s="2">
        <v>201</v>
      </c>
      <c r="G203" s="3">
        <f t="shared" si="12"/>
        <v>0.44541982512654371</v>
      </c>
      <c r="H203" s="3">
        <f t="shared" si="13"/>
        <v>0.44395595226669887</v>
      </c>
      <c r="I203" s="3">
        <f t="shared" si="14"/>
        <v>0.1106242226067488</v>
      </c>
      <c r="J203" s="3">
        <f t="shared" si="15"/>
        <v>0.88937577739325124</v>
      </c>
    </row>
    <row r="204" spans="6:10" ht="15.75" customHeight="1" x14ac:dyDescent="0.25">
      <c r="F204" s="2">
        <v>202</v>
      </c>
      <c r="G204" s="3">
        <f t="shared" si="12"/>
        <v>0.44539054815044882</v>
      </c>
      <c r="H204" s="3">
        <f t="shared" si="13"/>
        <v>0.44397063814329468</v>
      </c>
      <c r="I204" s="3">
        <f t="shared" si="14"/>
        <v>0.11063881370624784</v>
      </c>
      <c r="J204" s="3">
        <f t="shared" si="15"/>
        <v>0.88936118629375216</v>
      </c>
    </row>
    <row r="205" spans="6:10" ht="15.75" customHeight="1" x14ac:dyDescent="0.25">
      <c r="F205" s="2">
        <v>203</v>
      </c>
      <c r="G205" s="3">
        <f t="shared" si="12"/>
        <v>0.44536215040297455</v>
      </c>
      <c r="H205" s="3">
        <f t="shared" si="13"/>
        <v>0.44398488160491689</v>
      </c>
      <c r="I205" s="3">
        <f t="shared" si="14"/>
        <v>0.11065296799209975</v>
      </c>
      <c r="J205" s="3">
        <f t="shared" si="15"/>
        <v>0.88934703200790022</v>
      </c>
    </row>
    <row r="206" spans="6:10" ht="15.75" customHeight="1" x14ac:dyDescent="0.25">
      <c r="F206" s="2">
        <v>204</v>
      </c>
      <c r="G206" s="3">
        <f t="shared" si="12"/>
        <v>0.44533460545292958</v>
      </c>
      <c r="H206" s="3">
        <f t="shared" si="13"/>
        <v>0.4439986960326805</v>
      </c>
      <c r="I206" s="3">
        <f t="shared" si="14"/>
        <v>0.11066669851438109</v>
      </c>
      <c r="J206" s="3">
        <f t="shared" si="15"/>
        <v>0.88933330148561895</v>
      </c>
    </row>
    <row r="207" spans="6:10" ht="15.75" customHeight="1" x14ac:dyDescent="0.25">
      <c r="F207" s="2">
        <v>205</v>
      </c>
      <c r="G207" s="3">
        <f t="shared" si="12"/>
        <v>0.44530788766526913</v>
      </c>
      <c r="H207" s="3">
        <f t="shared" si="13"/>
        <v>0.4440120943998449</v>
      </c>
      <c r="I207" s="3">
        <f t="shared" si="14"/>
        <v>0.11068001793487715</v>
      </c>
      <c r="J207" s="3">
        <f t="shared" si="15"/>
        <v>0.88931998206512286</v>
      </c>
    </row>
    <row r="208" spans="6:10" ht="15.75" customHeight="1" x14ac:dyDescent="0.25">
      <c r="F208" s="2">
        <v>206</v>
      </c>
      <c r="G208" s="3">
        <f t="shared" si="12"/>
        <v>0.44528197217702115</v>
      </c>
      <c r="H208" s="3">
        <f t="shared" si="13"/>
        <v>0.44402508928442896</v>
      </c>
      <c r="I208" s="3">
        <f t="shared" si="14"/>
        <v>0.11069293853854102</v>
      </c>
      <c r="J208" s="3">
        <f t="shared" si="15"/>
        <v>0.88930706146145899</v>
      </c>
    </row>
    <row r="209" spans="6:10" ht="15.75" customHeight="1" x14ac:dyDescent="0.25">
      <c r="F209" s="2">
        <v>207</v>
      </c>
      <c r="G209" s="3">
        <f t="shared" si="12"/>
        <v>0.44525683487394557</v>
      </c>
      <c r="H209" s="3">
        <f t="shared" si="13"/>
        <v>0.44403769288142569</v>
      </c>
      <c r="I209" s="3">
        <f t="shared" si="14"/>
        <v>0.11070547224461989</v>
      </c>
      <c r="J209" s="3">
        <f t="shared" si="15"/>
        <v>0.88929452775538009</v>
      </c>
    </row>
    <row r="210" spans="6:10" ht="15.75" customHeight="1" x14ac:dyDescent="0.25">
      <c r="F210" s="2">
        <v>208</v>
      </c>
      <c r="G210" s="3">
        <f t="shared" si="12"/>
        <v>0.4452324523679041</v>
      </c>
      <c r="H210" s="3">
        <f t="shared" si="13"/>
        <v>0.44404991701462865</v>
      </c>
      <c r="I210" s="3">
        <f t="shared" si="14"/>
        <v>0.1107176306174583</v>
      </c>
      <c r="J210" s="3">
        <f t="shared" si="15"/>
        <v>0.88928236938254168</v>
      </c>
    </row>
    <row r="211" spans="6:10" ht="15.75" customHeight="1" x14ac:dyDescent="0.25">
      <c r="F211" s="2">
        <v>209</v>
      </c>
      <c r="G211" s="3">
        <f t="shared" si="12"/>
        <v>0.44520880197491941</v>
      </c>
      <c r="H211" s="3">
        <f t="shared" si="13"/>
        <v>0.44406177314808448</v>
      </c>
      <c r="I211" s="3">
        <f t="shared" si="14"/>
        <v>0.1107294248769871</v>
      </c>
      <c r="J211" s="3">
        <f t="shared" si="15"/>
        <v>0.88927057512301289</v>
      </c>
    </row>
    <row r="212" spans="6:10" ht="15.75" customHeight="1" x14ac:dyDescent="0.25">
      <c r="F212" s="2">
        <v>210</v>
      </c>
      <c r="G212" s="3">
        <f t="shared" si="12"/>
        <v>0.44518586169390134</v>
      </c>
      <c r="H212" s="3">
        <f t="shared" si="13"/>
        <v>0.44407327239718247</v>
      </c>
      <c r="I212" s="3">
        <f t="shared" si="14"/>
        <v>0.11074086590890712</v>
      </c>
      <c r="J212" s="3">
        <f t="shared" si="15"/>
        <v>0.88925913409109292</v>
      </c>
    </row>
    <row r="213" spans="6:10" ht="15.75" customHeight="1" x14ac:dyDescent="0.25">
      <c r="F213" s="2">
        <v>211</v>
      </c>
      <c r="G213" s="3">
        <f t="shared" si="12"/>
        <v>0.44516361018602041</v>
      </c>
      <c r="H213" s="3">
        <f t="shared" si="13"/>
        <v>0.44408442553939426</v>
      </c>
      <c r="I213" s="3">
        <f t="shared" si="14"/>
        <v>0.11075196427457618</v>
      </c>
      <c r="J213" s="3">
        <f t="shared" si="15"/>
        <v>0.88924803572542377</v>
      </c>
    </row>
    <row r="214" spans="6:10" ht="15.75" customHeight="1" x14ac:dyDescent="0.25">
      <c r="F214" s="2">
        <v>212</v>
      </c>
      <c r="G214" s="3">
        <f t="shared" si="12"/>
        <v>0.44514202675470843</v>
      </c>
      <c r="H214" s="3">
        <f t="shared" si="13"/>
        <v>0.44409524302467474</v>
      </c>
      <c r="I214" s="3">
        <f t="shared" si="14"/>
        <v>0.11076273022060762</v>
      </c>
      <c r="J214" s="3">
        <f t="shared" si="15"/>
        <v>0.88923726977939244</v>
      </c>
    </row>
    <row r="215" spans="6:10" ht="15.75" customHeight="1" x14ac:dyDescent="0.25">
      <c r="F215" s="2">
        <v>213</v>
      </c>
      <c r="G215" s="3">
        <f t="shared" si="12"/>
        <v>0.44512109132626648</v>
      </c>
      <c r="H215" s="3">
        <f t="shared" si="13"/>
        <v>0.44410573498553541</v>
      </c>
      <c r="I215" s="3">
        <f t="shared" si="14"/>
        <v>0.11077317368818883</v>
      </c>
      <c r="J215" s="3">
        <f t="shared" si="15"/>
        <v>0.88922682631181116</v>
      </c>
    </row>
    <row r="216" spans="6:10" ht="15.75" customHeight="1" x14ac:dyDescent="0.25">
      <c r="F216" s="2">
        <v>214</v>
      </c>
      <c r="G216" s="3">
        <f t="shared" si="12"/>
        <v>0.44510078443106266</v>
      </c>
      <c r="H216" s="3">
        <f t="shared" si="13"/>
        <v>0.44411591124680061</v>
      </c>
      <c r="I216" s="3">
        <f t="shared" si="14"/>
        <v>0.11078330432212741</v>
      </c>
      <c r="J216" s="3">
        <f t="shared" si="15"/>
        <v>0.88921669567787265</v>
      </c>
    </row>
    <row r="217" spans="6:10" ht="15.75" customHeight="1" x14ac:dyDescent="0.25">
      <c r="F217" s="2">
        <v>215</v>
      </c>
      <c r="G217" s="3">
        <f t="shared" si="12"/>
        <v>0.44508108718529998</v>
      </c>
      <c r="H217" s="3">
        <f t="shared" si="13"/>
        <v>0.4441257813350577</v>
      </c>
      <c r="I217" s="3">
        <f t="shared" si="14"/>
        <v>0.11079313147963291</v>
      </c>
      <c r="J217" s="3">
        <f t="shared" si="15"/>
        <v>0.88920686852036712</v>
      </c>
    </row>
    <row r="218" spans="6:10" ht="15.75" customHeight="1" x14ac:dyDescent="0.25">
      <c r="F218" s="2">
        <v>216</v>
      </c>
      <c r="G218" s="3">
        <f t="shared" si="12"/>
        <v>0.44506198127333851</v>
      </c>
      <c r="H218" s="3">
        <f t="shared" si="13"/>
        <v>0.44413535448781055</v>
      </c>
      <c r="I218" s="3">
        <f t="shared" si="14"/>
        <v>0.11080266423884153</v>
      </c>
      <c r="J218" s="3">
        <f t="shared" si="15"/>
        <v>0.88919733576115845</v>
      </c>
    </row>
    <row r="219" spans="6:10" ht="15.75" customHeight="1" x14ac:dyDescent="0.25">
      <c r="F219" s="2">
        <v>217</v>
      </c>
      <c r="G219" s="3">
        <f t="shared" si="12"/>
        <v>0.44504344893055325</v>
      </c>
      <c r="H219" s="3">
        <f t="shared" si="13"/>
        <v>0.44414463966234602</v>
      </c>
      <c r="I219" s="3">
        <f t="shared" si="14"/>
        <v>0.11081191140709128</v>
      </c>
      <c r="J219" s="3">
        <f t="shared" si="15"/>
        <v>0.88918808859290877</v>
      </c>
    </row>
    <row r="220" spans="6:10" ht="15.75" customHeight="1" x14ac:dyDescent="0.25">
      <c r="F220" s="2">
        <v>218</v>
      </c>
      <c r="G220" s="3">
        <f t="shared" si="12"/>
        <v>0.44502547292671252</v>
      </c>
      <c r="H220" s="3">
        <f t="shared" si="13"/>
        <v>0.44415364554432346</v>
      </c>
      <c r="I220" s="3">
        <f t="shared" si="14"/>
        <v>0.1108208815289545</v>
      </c>
      <c r="J220" s="3">
        <f t="shared" si="15"/>
        <v>0.88917911847104547</v>
      </c>
    </row>
    <row r="221" spans="6:10" ht="15.75" customHeight="1" x14ac:dyDescent="0.25">
      <c r="F221" s="2">
        <v>219</v>
      </c>
      <c r="G221" s="3">
        <f t="shared" si="12"/>
        <v>0.4450080365498601</v>
      </c>
      <c r="H221" s="3">
        <f t="shared" si="13"/>
        <v>0.44416238055609536</v>
      </c>
      <c r="I221" s="3">
        <f t="shared" si="14"/>
        <v>0.11082958289403493</v>
      </c>
      <c r="J221" s="3">
        <f t="shared" si="15"/>
        <v>0.88917041710596512</v>
      </c>
    </row>
    <row r="222" spans="6:10" ht="15.75" customHeight="1" x14ac:dyDescent="0.25">
      <c r="F222" s="2">
        <v>220</v>
      </c>
      <c r="G222" s="3">
        <f t="shared" si="12"/>
        <v>0.44499112359068616</v>
      </c>
      <c r="H222" s="3">
        <f t="shared" si="13"/>
        <v>0.44417085286476832</v>
      </c>
      <c r="I222" s="3">
        <f t="shared" si="14"/>
        <v>0.11083802354453585</v>
      </c>
      <c r="J222" s="3">
        <f t="shared" si="15"/>
        <v>0.88916197645546413</v>
      </c>
    </row>
    <row r="223" spans="6:10" ht="15.75" customHeight="1" x14ac:dyDescent="0.25">
      <c r="F223" s="2">
        <v>221</v>
      </c>
      <c r="G223" s="3">
        <f t="shared" si="12"/>
        <v>0.44497471832737173</v>
      </c>
      <c r="H223" s="3">
        <f t="shared" si="13"/>
        <v>0.44417907039001253</v>
      </c>
      <c r="I223" s="3">
        <f t="shared" si="14"/>
        <v>0.11084621128260602</v>
      </c>
      <c r="J223" s="3">
        <f t="shared" si="15"/>
        <v>0.88915378871739392</v>
      </c>
    </row>
    <row r="224" spans="6:10" ht="15.75" customHeight="1" x14ac:dyDescent="0.25">
      <c r="F224" s="2">
        <v>222</v>
      </c>
      <c r="G224" s="3">
        <f t="shared" si="12"/>
        <v>0.44495880551089229</v>
      </c>
      <c r="H224" s="3">
        <f t="shared" si="13"/>
        <v>0.44418704081162824</v>
      </c>
      <c r="I224" s="3">
        <f t="shared" si="14"/>
        <v>0.11085415367746967</v>
      </c>
      <c r="J224" s="3">
        <f t="shared" si="15"/>
        <v>0.88914584632253035</v>
      </c>
    </row>
    <row r="225" spans="6:10" ht="15.75" customHeight="1" x14ac:dyDescent="0.25">
      <c r="F225" s="2">
        <v>223</v>
      </c>
      <c r="G225" s="3">
        <f t="shared" si="12"/>
        <v>0.44494337035076675</v>
      </c>
      <c r="H225" s="3">
        <f t="shared" si="13"/>
        <v>0.44419477157687648</v>
      </c>
      <c r="I225" s="3">
        <f t="shared" si="14"/>
        <v>0.11086185807234691</v>
      </c>
      <c r="J225" s="3">
        <f t="shared" si="15"/>
        <v>0.88913814192765306</v>
      </c>
    </row>
    <row r="226" spans="6:10" ht="15.75" customHeight="1" x14ac:dyDescent="0.25">
      <c r="F226" s="2">
        <v>224</v>
      </c>
      <c r="G226" s="3">
        <f t="shared" si="12"/>
        <v>0.44492839850123761</v>
      </c>
      <c r="H226" s="3">
        <f t="shared" si="13"/>
        <v>0.4442022699075821</v>
      </c>
      <c r="I226" s="3">
        <f t="shared" si="14"/>
        <v>0.11086933159117043</v>
      </c>
      <c r="J226" s="3">
        <f t="shared" si="15"/>
        <v>0.88913066840882959</v>
      </c>
    </row>
    <row r="227" spans="6:10" ht="15.75" customHeight="1" x14ac:dyDescent="0.25">
      <c r="F227" s="2">
        <v>225</v>
      </c>
      <c r="G227" s="3">
        <f t="shared" si="12"/>
        <v>0.44491387604786953</v>
      </c>
      <c r="H227" s="3">
        <f t="shared" si="13"/>
        <v>0.44420954280701602</v>
      </c>
      <c r="I227" s="3">
        <f t="shared" si="14"/>
        <v>0.1108765811451045</v>
      </c>
      <c r="J227" s="3">
        <f t="shared" si="15"/>
        <v>0.88912341885489554</v>
      </c>
    </row>
    <row r="228" spans="6:10" ht="15.75" customHeight="1" x14ac:dyDescent="0.25">
      <c r="F228" s="2">
        <v>226</v>
      </c>
      <c r="G228" s="3">
        <f t="shared" si="12"/>
        <v>0.44489978949455389</v>
      </c>
      <c r="H228" s="3">
        <f t="shared" si="13"/>
        <v>0.44421659706656424</v>
      </c>
      <c r="I228" s="3">
        <f t="shared" si="14"/>
        <v>0.1108836134388719</v>
      </c>
      <c r="J228" s="3">
        <f t="shared" si="15"/>
        <v>0.88911638656112812</v>
      </c>
    </row>
    <row r="229" spans="6:10" ht="15.75" customHeight="1" x14ac:dyDescent="0.25">
      <c r="F229" s="2">
        <v>227</v>
      </c>
      <c r="G229" s="3">
        <f t="shared" si="12"/>
        <v>0.4448861257509058</v>
      </c>
      <c r="H229" s="3">
        <f t="shared" si="13"/>
        <v>0.44422343927218982</v>
      </c>
      <c r="I229" s="3">
        <f t="shared" si="14"/>
        <v>0.11089043497689435</v>
      </c>
      <c r="J229" s="3">
        <f t="shared" si="15"/>
        <v>0.88910956502310567</v>
      </c>
    </row>
    <row r="230" spans="6:10" ht="15.75" customHeight="1" x14ac:dyDescent="0.25">
      <c r="F230" s="2">
        <v>228</v>
      </c>
      <c r="G230" s="3">
        <f t="shared" si="12"/>
        <v>0.44487287212004289</v>
      </c>
      <c r="H230" s="3">
        <f t="shared" si="13"/>
        <v>0.44423007581069512</v>
      </c>
      <c r="I230" s="3">
        <f t="shared" si="14"/>
        <v>0.11089705206925188</v>
      </c>
      <c r="J230" s="3">
        <f t="shared" si="15"/>
        <v>0.88910294793074818</v>
      </c>
    </row>
    <row r="231" spans="6:10" ht="15.75" customHeight="1" x14ac:dyDescent="0.25">
      <c r="F231" s="2">
        <v>229</v>
      </c>
      <c r="G231" s="3">
        <f t="shared" si="12"/>
        <v>0.4448600162867335</v>
      </c>
      <c r="H231" s="3">
        <f t="shared" si="13"/>
        <v>0.44423651287579002</v>
      </c>
      <c r="I231" s="3">
        <f t="shared" si="14"/>
        <v>0.11090347083746632</v>
      </c>
      <c r="J231" s="3">
        <f t="shared" si="15"/>
        <v>0.88909652916253368</v>
      </c>
    </row>
    <row r="232" spans="6:10" ht="15.75" customHeight="1" x14ac:dyDescent="0.25">
      <c r="F232" s="2">
        <v>230</v>
      </c>
      <c r="G232" s="3">
        <f t="shared" si="12"/>
        <v>0.44484754630590312</v>
      </c>
      <c r="H232" s="3">
        <f t="shared" si="13"/>
        <v>0.44424275647397266</v>
      </c>
      <c r="I232" s="3">
        <f t="shared" si="14"/>
        <v>0.11090969722011407</v>
      </c>
      <c r="J232" s="3">
        <f t="shared" si="15"/>
        <v>0.88909030277988599</v>
      </c>
    </row>
    <row r="233" spans="6:10" ht="15.75" customHeight="1" x14ac:dyDescent="0.25">
      <c r="F233" s="2">
        <v>231</v>
      </c>
      <c r="G233" s="3">
        <f t="shared" si="12"/>
        <v>0.44483545059148832</v>
      </c>
      <c r="H233" s="3">
        <f t="shared" si="13"/>
        <v>0.44424881243022846</v>
      </c>
      <c r="I233" s="3">
        <f t="shared" si="14"/>
        <v>0.11091573697827307</v>
      </c>
      <c r="J233" s="3">
        <f t="shared" si="15"/>
        <v>0.88908426302172694</v>
      </c>
    </row>
    <row r="234" spans="6:10" ht="15.75" customHeight="1" x14ac:dyDescent="0.25">
      <c r="F234" s="2">
        <v>232</v>
      </c>
      <c r="G234" s="3">
        <f t="shared" si="12"/>
        <v>0.44482371790562758</v>
      </c>
      <c r="H234" s="3">
        <f t="shared" si="13"/>
        <v>0.44425468639355342</v>
      </c>
      <c r="I234" s="3">
        <f t="shared" si="14"/>
        <v>0.11092159570080884</v>
      </c>
      <c r="J234" s="3">
        <f t="shared" si="15"/>
        <v>0.88907840429919116</v>
      </c>
    </row>
    <row r="235" spans="6:10" ht="15.75" customHeight="1" x14ac:dyDescent="0.25">
      <c r="F235" s="2">
        <v>233</v>
      </c>
      <c r="G235" s="3">
        <f t="shared" si="12"/>
        <v>0.44481233734817827</v>
      </c>
      <c r="H235" s="3">
        <f t="shared" si="13"/>
        <v>0.44426038384230732</v>
      </c>
      <c r="I235" s="3">
        <f t="shared" si="14"/>
        <v>0.11092727880950418</v>
      </c>
      <c r="J235" s="3">
        <f t="shared" si="15"/>
        <v>0.88907272119049585</v>
      </c>
    </row>
    <row r="236" spans="6:10" ht="15.75" customHeight="1" x14ac:dyDescent="0.25">
      <c r="F236" s="2">
        <v>234</v>
      </c>
      <c r="G236" s="3">
        <f t="shared" si="12"/>
        <v>0.44480129834655102</v>
      </c>
      <c r="H236" s="3">
        <f t="shared" si="13"/>
        <v>0.44426591008940153</v>
      </c>
      <c r="I236" s="3">
        <f t="shared" si="14"/>
        <v>0.11093279156403722</v>
      </c>
      <c r="J236" s="3">
        <f t="shared" si="15"/>
        <v>0.88906720843596276</v>
      </c>
    </row>
    <row r="237" spans="6:10" ht="15.75" customHeight="1" x14ac:dyDescent="0.25">
      <c r="F237" s="2">
        <v>235</v>
      </c>
      <c r="G237" s="3">
        <f t="shared" si="12"/>
        <v>0.44479059064585047</v>
      </c>
      <c r="H237" s="3">
        <f t="shared" si="13"/>
        <v>0.44427127028732721</v>
      </c>
      <c r="I237" s="3">
        <f t="shared" si="14"/>
        <v>0.11093813906681213</v>
      </c>
      <c r="J237" s="3">
        <f t="shared" si="15"/>
        <v>0.88906186093318784</v>
      </c>
    </row>
    <row r="238" spans="6:10" ht="15.75" customHeight="1" x14ac:dyDescent="0.25">
      <c r="F238" s="2">
        <v>236</v>
      </c>
      <c r="G238" s="3">
        <f t="shared" si="12"/>
        <v>0.44478020429931386</v>
      </c>
      <c r="H238" s="3">
        <f t="shared" si="13"/>
        <v>0.44427646943302918</v>
      </c>
      <c r="I238" s="3">
        <f t="shared" si="14"/>
        <v>0.11094332626764676</v>
      </c>
      <c r="J238" s="3">
        <f t="shared" si="15"/>
        <v>0.8890566737323532</v>
      </c>
    </row>
    <row r="239" spans="6:10" ht="15.75" customHeight="1" x14ac:dyDescent="0.25">
      <c r="F239" s="2">
        <v>237</v>
      </c>
      <c r="G239" s="3">
        <f t="shared" si="12"/>
        <v>0.4447701296590385</v>
      </c>
      <c r="H239" s="3">
        <f t="shared" si="13"/>
        <v>0.44428151237262964</v>
      </c>
      <c r="I239" s="3">
        <f t="shared" si="14"/>
        <v>0.11094835796832156</v>
      </c>
      <c r="J239" s="3">
        <f t="shared" si="15"/>
        <v>0.88905164203167841</v>
      </c>
    </row>
    <row r="240" spans="6:10" ht="15.75" customHeight="1" x14ac:dyDescent="0.25">
      <c r="F240" s="2">
        <v>238</v>
      </c>
      <c r="G240" s="3">
        <f t="shared" si="12"/>
        <v>0.44476035736698905</v>
      </c>
      <c r="H240" s="3">
        <f t="shared" si="13"/>
        <v>0.44428640380600692</v>
      </c>
      <c r="I240" s="3">
        <f t="shared" si="14"/>
        <v>0.11095323882699369</v>
      </c>
      <c r="J240" s="3">
        <f t="shared" si="15"/>
        <v>0.88904676117300629</v>
      </c>
    </row>
    <row r="241" spans="6:10" ht="15.75" customHeight="1" x14ac:dyDescent="0.25">
      <c r="F241" s="2">
        <v>239</v>
      </c>
      <c r="G241" s="3">
        <f t="shared" si="12"/>
        <v>0.44475087834627569</v>
      </c>
      <c r="H241" s="3">
        <f t="shared" si="13"/>
        <v>0.44429114829123367</v>
      </c>
      <c r="I241" s="3">
        <f t="shared" si="14"/>
        <v>0.1109579733624803</v>
      </c>
      <c r="J241" s="3">
        <f t="shared" si="15"/>
        <v>0.88904202663751974</v>
      </c>
    </row>
    <row r="242" spans="6:10" ht="15.75" customHeight="1" x14ac:dyDescent="0.25">
      <c r="F242" s="2">
        <v>240</v>
      </c>
      <c r="G242" s="3">
        <f t="shared" si="12"/>
        <v>0.44474168379269619</v>
      </c>
      <c r="H242" s="3">
        <f t="shared" si="13"/>
        <v>0.44429575024887863</v>
      </c>
      <c r="I242" s="3">
        <f t="shared" si="14"/>
        <v>0.11096256595841478</v>
      </c>
      <c r="J242" s="3">
        <f t="shared" si="15"/>
        <v>0.8890374340415852</v>
      </c>
    </row>
    <row r="243" spans="6:10" ht="15.75" customHeight="1" x14ac:dyDescent="0.25">
      <c r="F243" s="2">
        <v>241</v>
      </c>
      <c r="G243" s="3">
        <f t="shared" si="12"/>
        <v>0.44473276516653271</v>
      </c>
      <c r="H243" s="3">
        <f t="shared" si="13"/>
        <v>0.44430021396617703</v>
      </c>
      <c r="I243" s="3">
        <f t="shared" si="14"/>
        <v>0.11096702086727983</v>
      </c>
      <c r="J243" s="3">
        <f t="shared" si="15"/>
        <v>0.88903297913272017</v>
      </c>
    </row>
    <row r="244" spans="6:10" ht="15.75" customHeight="1" x14ac:dyDescent="0.25">
      <c r="F244" s="2">
        <v>242</v>
      </c>
      <c r="G244" s="3">
        <f t="shared" si="12"/>
        <v>0.4447241141845959</v>
      </c>
      <c r="H244" s="3">
        <f t="shared" si="13"/>
        <v>0.44430454360107291</v>
      </c>
      <c r="I244" s="3">
        <f t="shared" si="14"/>
        <v>0.11097134221432073</v>
      </c>
      <c r="J244" s="3">
        <f t="shared" si="15"/>
        <v>0.8890286577856793</v>
      </c>
    </row>
    <row r="245" spans="6:10" ht="15.75" customHeight="1" x14ac:dyDescent="0.25">
      <c r="F245" s="2">
        <v>243</v>
      </c>
      <c r="G245" s="3">
        <f t="shared" si="12"/>
        <v>0.44471572281250937</v>
      </c>
      <c r="H245" s="3">
        <f t="shared" si="13"/>
        <v>0.4443087431861375</v>
      </c>
      <c r="I245" s="3">
        <f t="shared" si="14"/>
        <v>0.11097553400134259</v>
      </c>
      <c r="J245" s="3">
        <f t="shared" si="15"/>
        <v>0.88902446599865736</v>
      </c>
    </row>
    <row r="246" spans="6:10" ht="15.75" customHeight="1" x14ac:dyDescent="0.25">
      <c r="F246" s="2">
        <v>244</v>
      </c>
      <c r="G246" s="3">
        <f t="shared" si="12"/>
        <v>0.44470758325722648</v>
      </c>
      <c r="H246" s="3">
        <f t="shared" si="13"/>
        <v>0.4443128166323681</v>
      </c>
      <c r="I246" s="3">
        <f t="shared" si="14"/>
        <v>0.11097960011039482</v>
      </c>
      <c r="J246" s="3">
        <f t="shared" si="15"/>
        <v>0.88902039988960513</v>
      </c>
    </row>
    <row r="247" spans="6:10" ht="15.75" customHeight="1" x14ac:dyDescent="0.25">
      <c r="F247" s="2">
        <v>245</v>
      </c>
      <c r="G247" s="3">
        <f t="shared" si="12"/>
        <v>0.44469968795977272</v>
      </c>
      <c r="H247" s="3">
        <f t="shared" si="13"/>
        <v>0.44431676773287054</v>
      </c>
      <c r="I247" s="3">
        <f t="shared" si="14"/>
        <v>0.1109835443073461</v>
      </c>
      <c r="J247" s="3">
        <f t="shared" si="15"/>
        <v>0.88901645569265386</v>
      </c>
    </row>
    <row r="248" spans="6:10" ht="15.75" customHeight="1" x14ac:dyDescent="0.25">
      <c r="F248" s="2">
        <v>246</v>
      </c>
      <c r="G248" s="3">
        <f t="shared" si="12"/>
        <v>0.44469202958820703</v>
      </c>
      <c r="H248" s="3">
        <f t="shared" si="13"/>
        <v>0.44432060016642905</v>
      </c>
      <c r="I248" s="3">
        <f t="shared" si="14"/>
        <v>0.1109873702453533</v>
      </c>
      <c r="J248" s="3">
        <f t="shared" si="15"/>
        <v>0.88901262975464668</v>
      </c>
    </row>
    <row r="249" spans="6:10" ht="15.75" customHeight="1" x14ac:dyDescent="0.25">
      <c r="F249" s="2">
        <v>247</v>
      </c>
      <c r="G249" s="3">
        <f t="shared" si="12"/>
        <v>0.44468460103079516</v>
      </c>
      <c r="H249" s="3">
        <f t="shared" si="13"/>
        <v>0.44432431750096707</v>
      </c>
      <c r="I249" s="3">
        <f t="shared" si="14"/>
        <v>0.11099108146822712</v>
      </c>
      <c r="J249" s="3">
        <f t="shared" si="15"/>
        <v>0.88900891853177288</v>
      </c>
    </row>
    <row r="250" spans="6:10" ht="15.75" customHeight="1" x14ac:dyDescent="0.25">
      <c r="F250" s="2">
        <v>248</v>
      </c>
      <c r="G250" s="3">
        <f t="shared" si="12"/>
        <v>0.44467739538938877</v>
      </c>
      <c r="H250" s="3">
        <f t="shared" si="13"/>
        <v>0.44432792319690262</v>
      </c>
      <c r="I250" s="3">
        <f t="shared" si="14"/>
        <v>0.11099468141369787</v>
      </c>
      <c r="J250" s="3">
        <f t="shared" si="15"/>
        <v>0.88900531858630216</v>
      </c>
    </row>
    <row r="251" spans="6:10" ht="15.75" customHeight="1" x14ac:dyDescent="0.25">
      <c r="F251" s="2">
        <v>249</v>
      </c>
      <c r="G251" s="3">
        <f t="shared" si="12"/>
        <v>0.44467040597300406</v>
      </c>
      <c r="H251" s="3">
        <f t="shared" si="13"/>
        <v>0.4443314206104011</v>
      </c>
      <c r="I251" s="3">
        <f t="shared" si="14"/>
        <v>0.11099817341658401</v>
      </c>
      <c r="J251" s="3">
        <f t="shared" si="15"/>
        <v>0.88900182658341598</v>
      </c>
    </row>
    <row r="252" spans="6:10" ht="15.75" customHeight="1" thickBot="1" x14ac:dyDescent="0.3">
      <c r="F252" s="14">
        <v>250</v>
      </c>
      <c r="G252" s="15">
        <f t="shared" si="12"/>
        <v>0.44466362629159378</v>
      </c>
      <c r="H252" s="15">
        <f t="shared" si="13"/>
        <v>0.44433481299652883</v>
      </c>
      <c r="I252" s="15">
        <f t="shared" si="14"/>
        <v>0.1110015607118665</v>
      </c>
      <c r="J252" s="15">
        <f t="shared" si="15"/>
        <v>0.88899843928813349</v>
      </c>
    </row>
    <row r="253" spans="6:10" ht="15.75" customHeight="1" x14ac:dyDescent="0.25">
      <c r="F253" s="12">
        <v>251</v>
      </c>
      <c r="G253" s="13">
        <f t="shared" si="12"/>
        <v>0.44465705005000705</v>
      </c>
      <c r="H253" s="13">
        <f t="shared" si="13"/>
        <v>0.44433810351231023</v>
      </c>
      <c r="I253" s="13">
        <f t="shared" si="14"/>
        <v>0.11100484643767172</v>
      </c>
      <c r="J253" s="13">
        <f t="shared" si="15"/>
        <v>0.88899515356232828</v>
      </c>
    </row>
    <row r="254" spans="6:10" ht="15.75" customHeight="1" x14ac:dyDescent="0.25">
      <c r="F254" s="2">
        <v>252</v>
      </c>
      <c r="G254" s="3">
        <f t="shared" si="12"/>
        <v>0.44465067114213075</v>
      </c>
      <c r="H254" s="3">
        <f t="shared" si="13"/>
        <v>0.44434129521969268</v>
      </c>
      <c r="I254" s="3">
        <f t="shared" si="14"/>
        <v>0.11100803363816555</v>
      </c>
      <c r="J254" s="3">
        <f t="shared" si="15"/>
        <v>0.88899196636183442</v>
      </c>
    </row>
    <row r="255" spans="6:10" ht="15.75" customHeight="1" x14ac:dyDescent="0.25">
      <c r="F255" s="2">
        <v>253</v>
      </c>
      <c r="G255" s="3">
        <f t="shared" si="12"/>
        <v>0.44464448364520753</v>
      </c>
      <c r="H255" s="3">
        <f t="shared" si="13"/>
        <v>0.44434439108842</v>
      </c>
      <c r="I255" s="3">
        <f t="shared" si="14"/>
        <v>0.11101112526636139</v>
      </c>
      <c r="J255" s="3">
        <f t="shared" si="15"/>
        <v>0.88898887473363863</v>
      </c>
    </row>
    <row r="256" spans="6:10" ht="15.75" customHeight="1" x14ac:dyDescent="0.25">
      <c r="F256" s="2">
        <v>254</v>
      </c>
      <c r="G256" s="3">
        <f t="shared" si="12"/>
        <v>0.44463848181432514</v>
      </c>
      <c r="H256" s="3">
        <f t="shared" si="13"/>
        <v>0.44434739399881923</v>
      </c>
      <c r="I256" s="3">
        <f t="shared" si="14"/>
        <v>0.11101412418684452</v>
      </c>
      <c r="J256" s="3">
        <f t="shared" si="15"/>
        <v>0.88898587581315547</v>
      </c>
    </row>
    <row r="257" spans="6:10" ht="15.75" customHeight="1" x14ac:dyDescent="0.25">
      <c r="F257" s="2">
        <v>255</v>
      </c>
      <c r="G257" s="3">
        <f t="shared" si="12"/>
        <v>0.44463266007707142</v>
      </c>
      <c r="H257" s="3">
        <f t="shared" si="13"/>
        <v>0.44435030674450204</v>
      </c>
      <c r="I257" s="3">
        <f t="shared" si="14"/>
        <v>0.11101703317841533</v>
      </c>
      <c r="J257" s="3">
        <f t="shared" si="15"/>
        <v>0.88898296682158473</v>
      </c>
    </row>
    <row r="258" spans="6:10" ht="15.75" customHeight="1" x14ac:dyDescent="0.25">
      <c r="F258" s="2">
        <v>256</v>
      </c>
      <c r="G258" s="3">
        <f t="shared" si="12"/>
        <v>0.44462701302835023</v>
      </c>
      <c r="H258" s="3">
        <f t="shared" si="13"/>
        <v>0.44435313203498461</v>
      </c>
      <c r="I258" s="3">
        <f t="shared" si="14"/>
        <v>0.11101985493665389</v>
      </c>
      <c r="J258" s="3">
        <f t="shared" si="15"/>
        <v>0.88898014506334611</v>
      </c>
    </row>
    <row r="259" spans="6:10" ht="15.75" customHeight="1" x14ac:dyDescent="0.25">
      <c r="F259" s="2">
        <v>257</v>
      </c>
      <c r="G259" s="3">
        <f t="shared" ref="G259:G322" si="16">(G258*$B$5)+(H258*$B$6)+(I258*$B$7)</f>
        <v>0.44462153542535343</v>
      </c>
      <c r="H259" s="3">
        <f t="shared" ref="H259:H322" si="17">(G258*$C$5)+(H258*$C$6)+(I258*$C$7)</f>
        <v>0.44435587249822722</v>
      </c>
      <c r="I259" s="3">
        <f t="shared" ref="I259:I322" si="18">(G258*$D$5)+(H258*$D$6)+(I258*$D$7)</f>
        <v>0.11102259207640808</v>
      </c>
      <c r="J259" s="3">
        <f t="shared" ref="J259:J322" si="19">1-I259</f>
        <v>0.88897740792359192</v>
      </c>
    </row>
    <row r="260" spans="6:10" ht="15.75" customHeight="1" x14ac:dyDescent="0.25">
      <c r="F260" s="2">
        <v>258</v>
      </c>
      <c r="G260" s="3">
        <f t="shared" si="16"/>
        <v>0.44461622218268432</v>
      </c>
      <c r="H260" s="3">
        <f t="shared" si="17"/>
        <v>0.44435853068309689</v>
      </c>
      <c r="I260" s="3">
        <f t="shared" si="18"/>
        <v>0.11102524713420747</v>
      </c>
      <c r="J260" s="3">
        <f t="shared" si="19"/>
        <v>0.88897475286579253</v>
      </c>
    </row>
    <row r="261" spans="6:10" ht="15.75" customHeight="1" x14ac:dyDescent="0.25">
      <c r="F261" s="2">
        <v>259</v>
      </c>
      <c r="G261" s="3">
        <f t="shared" si="16"/>
        <v>0.44461106836762793</v>
      </c>
      <c r="H261" s="3">
        <f t="shared" si="17"/>
        <v>0.44436110906175524</v>
      </c>
      <c r="I261" s="3">
        <f t="shared" si="18"/>
        <v>0.11102782257060548</v>
      </c>
      <c r="J261" s="3">
        <f t="shared" si="19"/>
        <v>0.88897217742939449</v>
      </c>
    </row>
    <row r="262" spans="6:10" ht="15.75" customHeight="1" x14ac:dyDescent="0.25">
      <c r="F262" s="2">
        <v>260</v>
      </c>
      <c r="G262" s="3">
        <f t="shared" si="16"/>
        <v>0.44460606919556311</v>
      </c>
      <c r="H262" s="3">
        <f t="shared" si="17"/>
        <v>0.44436361003197405</v>
      </c>
      <c r="I262" s="3">
        <f t="shared" si="18"/>
        <v>0.11103032077245145</v>
      </c>
      <c r="J262" s="3">
        <f t="shared" si="19"/>
        <v>0.88896967922754855</v>
      </c>
    </row>
    <row r="263" spans="6:10" ht="15.75" customHeight="1" x14ac:dyDescent="0.25">
      <c r="F263" s="2">
        <v>261</v>
      </c>
      <c r="G263" s="3">
        <f t="shared" si="16"/>
        <v>0.44460122002551344</v>
      </c>
      <c r="H263" s="3">
        <f t="shared" si="17"/>
        <v>0.44436603591937984</v>
      </c>
      <c r="I263" s="3">
        <f t="shared" si="18"/>
        <v>0.11103274405509526</v>
      </c>
      <c r="J263" s="3">
        <f t="shared" si="19"/>
        <v>0.88896725594490478</v>
      </c>
    </row>
    <row r="264" spans="6:10" ht="15.75" customHeight="1" x14ac:dyDescent="0.25">
      <c r="F264" s="2">
        <v>262</v>
      </c>
      <c r="G264" s="3">
        <f t="shared" si="16"/>
        <v>0.44459651635583147</v>
      </c>
      <c r="H264" s="3">
        <f t="shared" si="17"/>
        <v>0.44436838897963105</v>
      </c>
      <c r="I264" s="3">
        <f t="shared" si="18"/>
        <v>0.11103509466452596</v>
      </c>
      <c r="J264" s="3">
        <f t="shared" si="19"/>
        <v>0.88896490533547401</v>
      </c>
    </row>
    <row r="265" spans="6:10" ht="15.75" customHeight="1" x14ac:dyDescent="0.25">
      <c r="F265" s="2">
        <v>263</v>
      </c>
      <c r="G265" s="3">
        <f t="shared" si="16"/>
        <v>0.44459195382001288</v>
      </c>
      <c r="H265" s="3">
        <f t="shared" si="17"/>
        <v>0.44437067140052877</v>
      </c>
      <c r="I265" s="3">
        <f t="shared" si="18"/>
        <v>0.1110373747794467</v>
      </c>
      <c r="J265" s="3">
        <f t="shared" si="19"/>
        <v>0.88896262522055336</v>
      </c>
    </row>
    <row r="266" spans="6:10" ht="15.75" customHeight="1" x14ac:dyDescent="0.25">
      <c r="F266" s="2">
        <v>264</v>
      </c>
      <c r="G266" s="3">
        <f t="shared" si="16"/>
        <v>0.44458752818263686</v>
      </c>
      <c r="H266" s="3">
        <f t="shared" si="17"/>
        <v>0.44437288530406366</v>
      </c>
      <c r="I266" s="3">
        <f t="shared" si="18"/>
        <v>0.11103958651328778</v>
      </c>
      <c r="J266" s="3">
        <f t="shared" si="19"/>
        <v>0.88896041348671218</v>
      </c>
    </row>
    <row r="267" spans="6:10" ht="15.75" customHeight="1" x14ac:dyDescent="0.25">
      <c r="F267" s="2">
        <v>265</v>
      </c>
      <c r="G267" s="3">
        <f t="shared" si="16"/>
        <v>0.44458323533542815</v>
      </c>
      <c r="H267" s="3">
        <f t="shared" si="17"/>
        <v>0.44437503274840046</v>
      </c>
      <c r="I267" s="3">
        <f t="shared" si="18"/>
        <v>0.11104173191615967</v>
      </c>
      <c r="J267" s="3">
        <f t="shared" si="19"/>
        <v>0.88895826808384037</v>
      </c>
    </row>
    <row r="268" spans="6:10" ht="15.75" customHeight="1" x14ac:dyDescent="0.25">
      <c r="F268" s="2">
        <v>266</v>
      </c>
      <c r="G268" s="3">
        <f t="shared" si="16"/>
        <v>0.44457907129343788</v>
      </c>
      <c r="H268" s="3">
        <f t="shared" si="17"/>
        <v>0.44437711572980271</v>
      </c>
      <c r="I268" s="3">
        <f t="shared" si="18"/>
        <v>0.11104381297674761</v>
      </c>
      <c r="J268" s="3">
        <f t="shared" si="19"/>
        <v>0.88895618702325241</v>
      </c>
    </row>
    <row r="269" spans="6:10" ht="15.75" customHeight="1" x14ac:dyDescent="0.25">
      <c r="F269" s="2">
        <v>267</v>
      </c>
      <c r="G269" s="3">
        <f t="shared" si="16"/>
        <v>0.4445750321913392</v>
      </c>
      <c r="H269" s="3">
        <f t="shared" si="17"/>
        <v>0.44437913618449909</v>
      </c>
      <c r="I269" s="3">
        <f t="shared" si="18"/>
        <v>0.1110458316241498</v>
      </c>
      <c r="J269" s="3">
        <f t="shared" si="19"/>
        <v>0.88895416837585017</v>
      </c>
    </row>
    <row r="270" spans="6:10" ht="15.75" customHeight="1" x14ac:dyDescent="0.25">
      <c r="F270" s="2">
        <v>268</v>
      </c>
      <c r="G270" s="3">
        <f t="shared" si="16"/>
        <v>0.44457111427983431</v>
      </c>
      <c r="H270" s="3">
        <f t="shared" si="17"/>
        <v>0.44438109599049302</v>
      </c>
      <c r="I270" s="3">
        <f t="shared" si="18"/>
        <v>0.11104778972966069</v>
      </c>
      <c r="J270" s="3">
        <f t="shared" si="19"/>
        <v>0.88895221027033933</v>
      </c>
    </row>
    <row r="271" spans="6:10" ht="15.75" customHeight="1" x14ac:dyDescent="0.25">
      <c r="F271" s="2">
        <v>269</v>
      </c>
      <c r="G271" s="3">
        <f t="shared" si="16"/>
        <v>0.44456731392216925</v>
      </c>
      <c r="H271" s="3">
        <f t="shared" si="17"/>
        <v>0.44438299696931782</v>
      </c>
      <c r="I271" s="3">
        <f t="shared" si="18"/>
        <v>0.11104968910850092</v>
      </c>
      <c r="J271" s="3">
        <f t="shared" si="19"/>
        <v>0.88895031089149912</v>
      </c>
    </row>
    <row r="272" spans="6:10" ht="15.75" customHeight="1" x14ac:dyDescent="0.25">
      <c r="F272" s="2">
        <v>270</v>
      </c>
      <c r="G272" s="3">
        <f t="shared" si="16"/>
        <v>0.44456362759075396</v>
      </c>
      <c r="H272" s="3">
        <f t="shared" si="17"/>
        <v>0.44438484088773816</v>
      </c>
      <c r="I272" s="3">
        <f t="shared" si="18"/>
        <v>0.11105153152149581</v>
      </c>
      <c r="J272" s="3">
        <f t="shared" si="19"/>
        <v>0.88894846847850417</v>
      </c>
    </row>
    <row r="273" spans="6:10" ht="15.75" customHeight="1" x14ac:dyDescent="0.25">
      <c r="F273" s="2">
        <v>271</v>
      </c>
      <c r="G273" s="3">
        <f t="shared" si="16"/>
        <v>0.44456005186388375</v>
      </c>
      <c r="H273" s="3">
        <f t="shared" si="17"/>
        <v>0.44438662945940066</v>
      </c>
      <c r="I273" s="3">
        <f t="shared" si="18"/>
        <v>0.11105331867670348</v>
      </c>
      <c r="J273" s="3">
        <f t="shared" si="19"/>
        <v>0.88894668132329646</v>
      </c>
    </row>
    <row r="274" spans="6:10" ht="15.75" customHeight="1" x14ac:dyDescent="0.25">
      <c r="F274" s="2">
        <v>272</v>
      </c>
      <c r="G274" s="3">
        <f t="shared" si="16"/>
        <v>0.44455658342255927</v>
      </c>
      <c r="H274" s="3">
        <f t="shared" si="17"/>
        <v>0.44438836434643403</v>
      </c>
      <c r="I274" s="3">
        <f t="shared" si="18"/>
        <v>0.11105505223099453</v>
      </c>
      <c r="J274" s="3">
        <f t="shared" si="19"/>
        <v>0.88894494776900546</v>
      </c>
    </row>
    <row r="275" spans="6:10" ht="15.75" customHeight="1" x14ac:dyDescent="0.25">
      <c r="F275" s="2">
        <v>273</v>
      </c>
      <c r="G275" s="3">
        <f t="shared" si="16"/>
        <v>0.44455321904740208</v>
      </c>
      <c r="H275" s="3">
        <f t="shared" si="17"/>
        <v>0.44439004716100122</v>
      </c>
      <c r="I275" s="3">
        <f t="shared" si="18"/>
        <v>0.11105673379158446</v>
      </c>
      <c r="J275" s="3">
        <f t="shared" si="19"/>
        <v>0.88894326620841557</v>
      </c>
    </row>
    <row r="276" spans="6:10" ht="15.75" customHeight="1" x14ac:dyDescent="0.25">
      <c r="F276" s="2">
        <v>274</v>
      </c>
      <c r="G276" s="3">
        <f t="shared" si="16"/>
        <v>0.44454995561566318</v>
      </c>
      <c r="H276" s="3">
        <f t="shared" si="17"/>
        <v>0.44439167946680425</v>
      </c>
      <c r="I276" s="3">
        <f t="shared" si="18"/>
        <v>0.11105836491752025</v>
      </c>
      <c r="J276" s="3">
        <f t="shared" si="19"/>
        <v>0.8889416350824797</v>
      </c>
    </row>
    <row r="277" spans="6:10" ht="15.75" customHeight="1" x14ac:dyDescent="0.25">
      <c r="F277" s="2">
        <v>275</v>
      </c>
      <c r="G277" s="3">
        <f t="shared" si="16"/>
        <v>0.44454679009832115</v>
      </c>
      <c r="H277" s="3">
        <f t="shared" si="17"/>
        <v>0.44439326278054375</v>
      </c>
      <c r="I277" s="3">
        <f t="shared" si="18"/>
        <v>0.11105994712112269</v>
      </c>
      <c r="J277" s="3">
        <f t="shared" si="19"/>
        <v>0.88894005287887734</v>
      </c>
    </row>
    <row r="278" spans="6:10" ht="15.75" customHeight="1" x14ac:dyDescent="0.25">
      <c r="F278" s="2">
        <v>276</v>
      </c>
      <c r="G278" s="3">
        <f t="shared" si="16"/>
        <v>0.44454371955726779</v>
      </c>
      <c r="H278" s="3">
        <f t="shared" si="17"/>
        <v>0.44439479857333442</v>
      </c>
      <c r="I278" s="3">
        <f t="shared" si="18"/>
        <v>0.11106148186938537</v>
      </c>
      <c r="J278" s="3">
        <f t="shared" si="19"/>
        <v>0.88893851813061464</v>
      </c>
    </row>
    <row r="279" spans="6:10" ht="15.75" customHeight="1" x14ac:dyDescent="0.25">
      <c r="F279" s="2">
        <v>277</v>
      </c>
      <c r="G279" s="3">
        <f t="shared" si="16"/>
        <v>0.44454074114257791</v>
      </c>
      <c r="H279" s="3">
        <f t="shared" si="17"/>
        <v>0.4443962882720775</v>
      </c>
      <c r="I279" s="3">
        <f t="shared" si="18"/>
        <v>0.11106297058533211</v>
      </c>
      <c r="J279" s="3">
        <f t="shared" si="19"/>
        <v>0.8889370294146679</v>
      </c>
    </row>
    <row r="280" spans="6:10" ht="15.75" customHeight="1" x14ac:dyDescent="0.25">
      <c r="F280" s="2">
        <v>278</v>
      </c>
      <c r="G280" s="3">
        <f t="shared" si="16"/>
        <v>0.44453785208986185</v>
      </c>
      <c r="H280" s="3">
        <f t="shared" si="17"/>
        <v>0.44439773326079202</v>
      </c>
      <c r="I280" s="3">
        <f t="shared" si="18"/>
        <v>0.11106441464933356</v>
      </c>
      <c r="J280" s="3">
        <f t="shared" si="19"/>
        <v>0.88893558535066641</v>
      </c>
    </row>
    <row r="281" spans="6:10" ht="15.75" customHeight="1" x14ac:dyDescent="0.25">
      <c r="F281" s="2">
        <v>279</v>
      </c>
      <c r="G281" s="3">
        <f t="shared" si="16"/>
        <v>0.44453504971769703</v>
      </c>
      <c r="H281" s="3">
        <f t="shared" si="17"/>
        <v>0.44439913488190563</v>
      </c>
      <c r="I281" s="3">
        <f t="shared" si="18"/>
        <v>0.11106581540038468</v>
      </c>
      <c r="J281" s="3">
        <f t="shared" si="19"/>
        <v>0.88893418459961526</v>
      </c>
    </row>
    <row r="282" spans="6:10" ht="15.75" customHeight="1" x14ac:dyDescent="0.25">
      <c r="F282" s="2">
        <v>280</v>
      </c>
      <c r="G282" s="3">
        <f t="shared" si="16"/>
        <v>0.44453233142513671</v>
      </c>
      <c r="H282" s="3">
        <f t="shared" si="17"/>
        <v>0.44440049443750668</v>
      </c>
      <c r="I282" s="3">
        <f t="shared" si="18"/>
        <v>0.11106717413734389</v>
      </c>
      <c r="J282" s="3">
        <f t="shared" si="19"/>
        <v>0.8889328258626561</v>
      </c>
    </row>
    <row r="283" spans="6:10" ht="15.75" customHeight="1" x14ac:dyDescent="0.25">
      <c r="F283" s="2">
        <v>281</v>
      </c>
      <c r="G283" s="3">
        <f t="shared" si="16"/>
        <v>0.44452969468929404</v>
      </c>
      <c r="H283" s="3">
        <f t="shared" si="17"/>
        <v>0.44440181319055799</v>
      </c>
      <c r="I283" s="3">
        <f t="shared" si="18"/>
        <v>0.11106849212013514</v>
      </c>
      <c r="J283" s="3">
        <f t="shared" si="19"/>
        <v>0.88893150787986486</v>
      </c>
    </row>
    <row r="284" spans="6:10" ht="15.75" customHeight="1" x14ac:dyDescent="0.25">
      <c r="F284" s="2">
        <v>282</v>
      </c>
      <c r="G284" s="3">
        <f t="shared" si="16"/>
        <v>0.44452713706299818</v>
      </c>
      <c r="H284" s="3">
        <f t="shared" si="17"/>
        <v>0.44440309236607473</v>
      </c>
      <c r="I284" s="3">
        <f t="shared" si="18"/>
        <v>0.11106977057091419</v>
      </c>
      <c r="J284" s="3">
        <f t="shared" si="19"/>
        <v>0.88893022942908584</v>
      </c>
    </row>
    <row r="285" spans="6:10" ht="15.75" customHeight="1" x14ac:dyDescent="0.25">
      <c r="F285" s="2">
        <v>283</v>
      </c>
      <c r="G285" s="3">
        <f t="shared" si="16"/>
        <v>0.44452465617252113</v>
      </c>
      <c r="H285" s="3">
        <f t="shared" si="17"/>
        <v>0.44440433315226607</v>
      </c>
      <c r="I285" s="3">
        <f t="shared" si="18"/>
        <v>0.11107101067519981</v>
      </c>
      <c r="J285" s="3">
        <f t="shared" si="19"/>
        <v>0.88892898932480024</v>
      </c>
    </row>
    <row r="286" spans="6:10" ht="15.75" customHeight="1" x14ac:dyDescent="0.25">
      <c r="F286" s="2">
        <v>284</v>
      </c>
      <c r="G286" s="3">
        <f t="shared" si="16"/>
        <v>0.44452224971537291</v>
      </c>
      <c r="H286" s="3">
        <f t="shared" si="17"/>
        <v>0.44440553670164273</v>
      </c>
      <c r="I286" s="3">
        <f t="shared" si="18"/>
        <v>0.11107221358297134</v>
      </c>
      <c r="J286" s="3">
        <f t="shared" si="19"/>
        <v>0.88892778641702863</v>
      </c>
    </row>
    <row r="287" spans="6:10" ht="15.75" customHeight="1" x14ac:dyDescent="0.25">
      <c r="F287" s="2">
        <v>285</v>
      </c>
      <c r="G287" s="3">
        <f t="shared" si="16"/>
        <v>0.44451991545816272</v>
      </c>
      <c r="H287" s="3">
        <f t="shared" si="17"/>
        <v>0.44440670413209094</v>
      </c>
      <c r="I287" s="3">
        <f t="shared" si="18"/>
        <v>0.1110733804097333</v>
      </c>
      <c r="J287" s="3">
        <f t="shared" si="19"/>
        <v>0.88892661959026675</v>
      </c>
    </row>
    <row r="288" spans="6:10" ht="15.75" customHeight="1" x14ac:dyDescent="0.25">
      <c r="F288" s="2">
        <v>286</v>
      </c>
      <c r="G288" s="3">
        <f t="shared" si="16"/>
        <v>0.44451765123452458</v>
      </c>
      <c r="H288" s="3">
        <f t="shared" si="17"/>
        <v>0.44440783652791421</v>
      </c>
      <c r="I288" s="3">
        <f t="shared" si="18"/>
        <v>0.11107451223754816</v>
      </c>
      <c r="J288" s="3">
        <f t="shared" si="19"/>
        <v>0.88892548776245184</v>
      </c>
    </row>
    <row r="289" spans="6:10" ht="15.75" customHeight="1" x14ac:dyDescent="0.25">
      <c r="F289" s="2">
        <v>287</v>
      </c>
      <c r="G289" s="3">
        <f t="shared" si="16"/>
        <v>0.44451545494310518</v>
      </c>
      <c r="H289" s="3">
        <f t="shared" si="17"/>
        <v>0.44440893494084344</v>
      </c>
      <c r="I289" s="3">
        <f t="shared" si="18"/>
        <v>0.11107561011603825</v>
      </c>
      <c r="J289" s="3">
        <f t="shared" si="19"/>
        <v>0.88892438988396172</v>
      </c>
    </row>
    <row r="290" spans="6:10" ht="15.75" customHeight="1" x14ac:dyDescent="0.25">
      <c r="F290" s="2">
        <v>288</v>
      </c>
      <c r="G290" s="3">
        <f t="shared" si="16"/>
        <v>0.44451332454561249</v>
      </c>
      <c r="H290" s="3">
        <f t="shared" si="17"/>
        <v>0.44441000039101664</v>
      </c>
      <c r="I290" s="3">
        <f t="shared" si="18"/>
        <v>0.11107667506335771</v>
      </c>
      <c r="J290" s="3">
        <f t="shared" si="19"/>
        <v>0.88892332493664228</v>
      </c>
    </row>
    <row r="291" spans="6:10" ht="15.75" customHeight="1" x14ac:dyDescent="0.25">
      <c r="F291" s="2">
        <v>289</v>
      </c>
      <c r="G291" s="3">
        <f t="shared" si="16"/>
        <v>0.44451125806492225</v>
      </c>
      <c r="H291" s="3">
        <f t="shared" si="17"/>
        <v>0.44441103386792924</v>
      </c>
      <c r="I291" s="3">
        <f t="shared" si="18"/>
        <v>0.11107770806713525</v>
      </c>
      <c r="J291" s="3">
        <f t="shared" si="19"/>
        <v>0.88892229193286476</v>
      </c>
    </row>
    <row r="292" spans="6:10" ht="15.75" customHeight="1" x14ac:dyDescent="0.25">
      <c r="F292" s="2">
        <v>290</v>
      </c>
      <c r="G292" s="3">
        <f t="shared" si="16"/>
        <v>0.44450925358324217</v>
      </c>
      <c r="H292" s="3">
        <f t="shared" si="17"/>
        <v>0.44441203633135562</v>
      </c>
      <c r="I292" s="3">
        <f t="shared" si="18"/>
        <v>0.11107871008538889</v>
      </c>
      <c r="J292" s="3">
        <f t="shared" si="19"/>
        <v>0.88892128991461106</v>
      </c>
    </row>
    <row r="293" spans="6:10" ht="15.75" customHeight="1" x14ac:dyDescent="0.25">
      <c r="F293" s="2">
        <v>291</v>
      </c>
      <c r="G293" s="3">
        <f t="shared" si="16"/>
        <v>0.44450730924033066</v>
      </c>
      <c r="H293" s="3">
        <f t="shared" si="17"/>
        <v>0.44441300871224293</v>
      </c>
      <c r="I293" s="3">
        <f t="shared" si="18"/>
        <v>0.11107968204741309</v>
      </c>
      <c r="J293" s="3">
        <f t="shared" si="19"/>
        <v>0.88892031795258686</v>
      </c>
    </row>
    <row r="294" spans="6:10" ht="15.75" customHeight="1" x14ac:dyDescent="0.25">
      <c r="F294" s="2">
        <v>292</v>
      </c>
      <c r="G294" s="3">
        <f t="shared" si="16"/>
        <v>0.44450542323176945</v>
      </c>
      <c r="H294" s="3">
        <f t="shared" si="17"/>
        <v>0.44441395191357769</v>
      </c>
      <c r="I294" s="3">
        <f t="shared" si="18"/>
        <v>0.11108062485463953</v>
      </c>
      <c r="J294" s="3">
        <f t="shared" si="19"/>
        <v>0.88891937514536046</v>
      </c>
    </row>
    <row r="295" spans="6:10" ht="15.75" customHeight="1" x14ac:dyDescent="0.25">
      <c r="F295" s="2">
        <v>293</v>
      </c>
      <c r="G295" s="3">
        <f t="shared" si="16"/>
        <v>0.44450359380728788</v>
      </c>
      <c r="H295" s="3">
        <f t="shared" si="17"/>
        <v>0.44441486681122666</v>
      </c>
      <c r="I295" s="3">
        <f t="shared" si="18"/>
        <v>0.11108153938147203</v>
      </c>
      <c r="J295" s="3">
        <f t="shared" si="19"/>
        <v>0.88891846061852797</v>
      </c>
    </row>
    <row r="296" spans="6:10" ht="15.75" customHeight="1" x14ac:dyDescent="0.25">
      <c r="F296" s="2">
        <v>294</v>
      </c>
      <c r="G296" s="3">
        <f t="shared" si="16"/>
        <v>0.44450181926913773</v>
      </c>
      <c r="H296" s="3">
        <f t="shared" si="17"/>
        <v>0.44441575425475238</v>
      </c>
      <c r="I296" s="3">
        <f t="shared" si="18"/>
        <v>0.11108242647609648</v>
      </c>
      <c r="J296" s="3">
        <f t="shared" si="19"/>
        <v>0.88891757352390355</v>
      </c>
    </row>
    <row r="297" spans="6:10" ht="15.75" customHeight="1" x14ac:dyDescent="0.25">
      <c r="F297" s="2">
        <v>295</v>
      </c>
      <c r="G297" s="3">
        <f t="shared" si="16"/>
        <v>0.44450009797051637</v>
      </c>
      <c r="H297" s="3">
        <f t="shared" si="17"/>
        <v>0.44441661506820362</v>
      </c>
      <c r="I297" s="3">
        <f t="shared" si="18"/>
        <v>0.11108328696126654</v>
      </c>
      <c r="J297" s="3">
        <f t="shared" si="19"/>
        <v>0.88891671303873343</v>
      </c>
    </row>
    <row r="298" spans="6:10" ht="15.75" customHeight="1" x14ac:dyDescent="0.25">
      <c r="F298" s="2">
        <v>296</v>
      </c>
      <c r="G298" s="3">
        <f t="shared" si="16"/>
        <v>0.44449842831403802</v>
      </c>
      <c r="H298" s="3">
        <f t="shared" si="17"/>
        <v>0.44441745005088262</v>
      </c>
      <c r="I298" s="3">
        <f t="shared" si="18"/>
        <v>0.11108412163506583</v>
      </c>
      <c r="J298" s="3">
        <f t="shared" si="19"/>
        <v>0.88891587836493413</v>
      </c>
    </row>
    <row r="299" spans="6:10" ht="15.75" customHeight="1" x14ac:dyDescent="0.25">
      <c r="F299" s="2">
        <v>297</v>
      </c>
      <c r="G299" s="3">
        <f t="shared" si="16"/>
        <v>0.44449680875025016</v>
      </c>
      <c r="H299" s="3">
        <f t="shared" si="17"/>
        <v>0.44441825997808898</v>
      </c>
      <c r="I299" s="3">
        <f t="shared" si="18"/>
        <v>0.11108493127164727</v>
      </c>
      <c r="J299" s="3">
        <f t="shared" si="19"/>
        <v>0.88891506872835269</v>
      </c>
    </row>
    <row r="300" spans="6:10" ht="15.75" customHeight="1" x14ac:dyDescent="0.25">
      <c r="F300" s="2">
        <v>298</v>
      </c>
      <c r="G300" s="3">
        <f t="shared" si="16"/>
        <v>0.44449523777619498</v>
      </c>
      <c r="H300" s="3">
        <f t="shared" si="17"/>
        <v>0.44441904560184103</v>
      </c>
      <c r="I300" s="3">
        <f t="shared" si="18"/>
        <v>0.11108571662195033</v>
      </c>
      <c r="J300" s="3">
        <f t="shared" si="19"/>
        <v>0.88891428337804967</v>
      </c>
    </row>
    <row r="301" spans="6:10" ht="15.75" customHeight="1" x14ac:dyDescent="0.25">
      <c r="F301" s="2">
        <v>299</v>
      </c>
      <c r="G301" s="3">
        <f t="shared" si="16"/>
        <v>0.44449371393401393</v>
      </c>
      <c r="H301" s="3">
        <f t="shared" si="17"/>
        <v>0.44441980765157563</v>
      </c>
      <c r="I301" s="3">
        <f t="shared" si="18"/>
        <v>0.11108647841439674</v>
      </c>
      <c r="J301" s="3">
        <f t="shared" si="19"/>
        <v>0.88891352158560322</v>
      </c>
    </row>
    <row r="302" spans="6:10" ht="15.75" customHeight="1" x14ac:dyDescent="0.25">
      <c r="F302" s="2">
        <v>300</v>
      </c>
      <c r="G302" s="3">
        <f t="shared" si="16"/>
        <v>0.44449223580959402</v>
      </c>
      <c r="H302" s="3">
        <f t="shared" si="17"/>
        <v>0.44442054683482679</v>
      </c>
      <c r="I302" s="3">
        <f t="shared" si="18"/>
        <v>0.11108721735556547</v>
      </c>
      <c r="J302" s="3">
        <f t="shared" si="19"/>
        <v>0.88891278264443452</v>
      </c>
    </row>
    <row r="303" spans="6:10" ht="15.75" customHeight="1" x14ac:dyDescent="0.25">
      <c r="F303" s="2">
        <v>301</v>
      </c>
      <c r="G303" s="3">
        <f t="shared" si="16"/>
        <v>0.44449080203125491</v>
      </c>
      <c r="H303" s="3">
        <f t="shared" si="17"/>
        <v>0.444421263837884</v>
      </c>
      <c r="I303" s="3">
        <f t="shared" si="18"/>
        <v>0.11108793413084733</v>
      </c>
      <c r="J303" s="3">
        <f t="shared" si="19"/>
        <v>0.88891206586915272</v>
      </c>
    </row>
    <row r="304" spans="6:10" ht="15.75" customHeight="1" x14ac:dyDescent="0.25">
      <c r="F304" s="2">
        <v>302</v>
      </c>
      <c r="G304" s="3">
        <f t="shared" si="16"/>
        <v>0.44448941126847535</v>
      </c>
      <c r="H304" s="3">
        <f t="shared" si="17"/>
        <v>0.44442195932643064</v>
      </c>
      <c r="I304" s="3">
        <f t="shared" si="18"/>
        <v>0.11108862940508016</v>
      </c>
      <c r="J304" s="3">
        <f t="shared" si="19"/>
        <v>0.88891137059491987</v>
      </c>
    </row>
    <row r="305" spans="6:10" ht="15.75" customHeight="1" x14ac:dyDescent="0.25">
      <c r="F305" s="2">
        <v>303</v>
      </c>
      <c r="G305" s="3">
        <f t="shared" si="16"/>
        <v>0.44448806223065801</v>
      </c>
      <c r="H305" s="3">
        <f t="shared" si="17"/>
        <v>0.44442263394616321</v>
      </c>
      <c r="I305" s="3">
        <f t="shared" si="18"/>
        <v>0.11108930382316484</v>
      </c>
      <c r="J305" s="3">
        <f t="shared" si="19"/>
        <v>0.88891069617683516</v>
      </c>
    </row>
    <row r="306" spans="6:10" ht="15.75" customHeight="1" x14ac:dyDescent="0.25">
      <c r="F306" s="2">
        <v>304</v>
      </c>
      <c r="G306" s="3">
        <f t="shared" si="16"/>
        <v>0.44448675366593121</v>
      </c>
      <c r="H306" s="3">
        <f t="shared" si="17"/>
        <v>0.44442328832339184</v>
      </c>
      <c r="I306" s="3">
        <f t="shared" si="18"/>
        <v>0.11108995801066297</v>
      </c>
      <c r="J306" s="3">
        <f t="shared" si="19"/>
        <v>0.88891004198933699</v>
      </c>
    </row>
    <row r="307" spans="6:10" ht="15.75" customHeight="1" x14ac:dyDescent="0.25">
      <c r="F307" s="2">
        <v>305</v>
      </c>
      <c r="G307" s="3">
        <f t="shared" si="16"/>
        <v>0.44448548435998653</v>
      </c>
      <c r="H307" s="3">
        <f t="shared" si="17"/>
        <v>0.44442392306562284</v>
      </c>
      <c r="I307" s="3">
        <f t="shared" si="18"/>
        <v>0.11109059257437655</v>
      </c>
      <c r="J307" s="3">
        <f t="shared" si="19"/>
        <v>0.88890940742562341</v>
      </c>
    </row>
    <row r="308" spans="6:10" ht="15.75" customHeight="1" x14ac:dyDescent="0.25">
      <c r="F308" s="2">
        <v>306</v>
      </c>
      <c r="G308" s="3">
        <f t="shared" si="16"/>
        <v>0.44448425313495188</v>
      </c>
      <c r="H308" s="3">
        <f t="shared" si="17"/>
        <v>0.44442453876212362</v>
      </c>
      <c r="I308" s="3">
        <f t="shared" si="18"/>
        <v>0.11109120810291033</v>
      </c>
      <c r="J308" s="3">
        <f t="shared" si="19"/>
        <v>0.88890879189708971</v>
      </c>
    </row>
    <row r="309" spans="6:10" ht="15.75" customHeight="1" x14ac:dyDescent="0.25">
      <c r="F309" s="2">
        <v>307</v>
      </c>
      <c r="G309" s="3">
        <f t="shared" si="16"/>
        <v>0.44448305884829753</v>
      </c>
      <c r="H309" s="3">
        <f t="shared" si="17"/>
        <v>0.44442513598447081</v>
      </c>
      <c r="I309" s="3">
        <f t="shared" si="18"/>
        <v>0.11109180516721738</v>
      </c>
      <c r="J309" s="3">
        <f t="shared" si="19"/>
        <v>0.88890819483278261</v>
      </c>
    </row>
    <row r="310" spans="6:10" ht="15.75" customHeight="1" x14ac:dyDescent="0.25">
      <c r="F310" s="2">
        <v>308</v>
      </c>
      <c r="G310" s="3">
        <f t="shared" si="16"/>
        <v>0.44448190039177582</v>
      </c>
      <c r="H310" s="3">
        <f t="shared" si="17"/>
        <v>0.44442571528708164</v>
      </c>
      <c r="I310" s="3">
        <f t="shared" si="18"/>
        <v>0.11109238432112821</v>
      </c>
      <c r="J310" s="3">
        <f t="shared" si="19"/>
        <v>0.88890761567887178</v>
      </c>
    </row>
    <row r="311" spans="6:10" ht="15.75" customHeight="1" x14ac:dyDescent="0.25">
      <c r="F311" s="2">
        <v>309</v>
      </c>
      <c r="G311" s="3">
        <f t="shared" si="16"/>
        <v>0.44448077669039215</v>
      </c>
      <c r="H311" s="3">
        <f t="shared" si="17"/>
        <v>0.44442627720772943</v>
      </c>
      <c r="I311" s="3">
        <f t="shared" si="18"/>
        <v>0.1110929461018641</v>
      </c>
      <c r="J311" s="3">
        <f t="shared" si="19"/>
        <v>0.88890705389813585</v>
      </c>
    </row>
    <row r="312" spans="6:10" ht="15.75" customHeight="1" x14ac:dyDescent="0.25">
      <c r="F312" s="2">
        <v>310</v>
      </c>
      <c r="G312" s="3">
        <f t="shared" si="16"/>
        <v>0.44447968670140714</v>
      </c>
      <c r="H312" s="3">
        <f t="shared" si="17"/>
        <v>0.44442682226804342</v>
      </c>
      <c r="I312" s="3">
        <f t="shared" si="18"/>
        <v>0.11109349103053505</v>
      </c>
      <c r="J312" s="3">
        <f t="shared" si="19"/>
        <v>0.88890650896946499</v>
      </c>
    </row>
    <row r="313" spans="6:10" ht="15.75" customHeight="1" x14ac:dyDescent="0.25">
      <c r="F313" s="2">
        <v>311</v>
      </c>
      <c r="G313" s="3">
        <f t="shared" si="16"/>
        <v>0.44447862941336858</v>
      </c>
      <c r="H313" s="3">
        <f t="shared" si="17"/>
        <v>0.44442735097399411</v>
      </c>
      <c r="I313" s="3">
        <f t="shared" si="18"/>
        <v>0.11109401961262282</v>
      </c>
      <c r="J313" s="3">
        <f t="shared" si="19"/>
        <v>0.88890598038737723</v>
      </c>
    </row>
    <row r="314" spans="6:10" ht="15.75" customHeight="1" x14ac:dyDescent="0.25">
      <c r="F314" s="2">
        <v>312</v>
      </c>
      <c r="G314" s="3">
        <f t="shared" si="16"/>
        <v>0.44447760384517265</v>
      </c>
      <c r="H314" s="3">
        <f t="shared" si="17"/>
        <v>0.44442786381636334</v>
      </c>
      <c r="I314" s="3">
        <f t="shared" si="18"/>
        <v>0.11109453233844942</v>
      </c>
      <c r="J314" s="3">
        <f t="shared" si="19"/>
        <v>0.88890546766155054</v>
      </c>
    </row>
    <row r="315" spans="6:10" ht="15.75" customHeight="1" x14ac:dyDescent="0.25">
      <c r="F315" s="2">
        <v>313</v>
      </c>
      <c r="G315" s="3">
        <f t="shared" si="16"/>
        <v>0.44447660904515307</v>
      </c>
      <c r="H315" s="3">
        <f t="shared" si="17"/>
        <v>0.44442836127120061</v>
      </c>
      <c r="I315" s="3">
        <f t="shared" si="18"/>
        <v>0.11109502968363169</v>
      </c>
      <c r="J315" s="3">
        <f t="shared" si="19"/>
        <v>0.88890497031636828</v>
      </c>
    </row>
    <row r="316" spans="6:10" ht="15.75" customHeight="1" x14ac:dyDescent="0.25">
      <c r="F316" s="2">
        <v>314</v>
      </c>
      <c r="G316" s="3">
        <f t="shared" si="16"/>
        <v>0.44447564409019774</v>
      </c>
      <c r="H316" s="3">
        <f t="shared" si="17"/>
        <v>0.44442884380026543</v>
      </c>
      <c r="I316" s="3">
        <f t="shared" si="18"/>
        <v>0.11109551210952215</v>
      </c>
      <c r="J316" s="3">
        <f t="shared" si="19"/>
        <v>0.88890448789047782</v>
      </c>
    </row>
    <row r="317" spans="6:10" ht="15.75" customHeight="1" x14ac:dyDescent="0.25">
      <c r="F317" s="2">
        <v>315</v>
      </c>
      <c r="G317" s="3">
        <f t="shared" si="16"/>
        <v>0.44447470808489187</v>
      </c>
      <c r="H317" s="3">
        <f t="shared" si="17"/>
        <v>0.44442931185145673</v>
      </c>
      <c r="I317" s="3">
        <f t="shared" si="18"/>
        <v>0.11109598006363669</v>
      </c>
      <c r="J317" s="3">
        <f t="shared" si="19"/>
        <v>0.88890401993636337</v>
      </c>
    </row>
    <row r="318" spans="6:10" ht="15.75" customHeight="1" x14ac:dyDescent="0.25">
      <c r="F318" s="2">
        <v>316</v>
      </c>
      <c r="G318" s="3">
        <f t="shared" si="16"/>
        <v>0.44447380016068677</v>
      </c>
      <c r="H318" s="3">
        <f t="shared" si="17"/>
        <v>0.444429765859229</v>
      </c>
      <c r="I318" s="3">
        <f t="shared" si="18"/>
        <v>0.11109643398006944</v>
      </c>
      <c r="J318" s="3">
        <f t="shared" si="19"/>
        <v>0.88890356601993059</v>
      </c>
    </row>
    <row r="319" spans="6:10" ht="15.75" customHeight="1" x14ac:dyDescent="0.25">
      <c r="F319" s="2">
        <v>317</v>
      </c>
      <c r="G319" s="3">
        <f t="shared" si="16"/>
        <v>0.44447291947509387</v>
      </c>
      <c r="H319" s="3">
        <f t="shared" si="17"/>
        <v>0.44443020624499613</v>
      </c>
      <c r="I319" s="3">
        <f t="shared" si="18"/>
        <v>0.11109687427989519</v>
      </c>
      <c r="J319" s="3">
        <f t="shared" si="19"/>
        <v>0.88890312572010477</v>
      </c>
    </row>
    <row r="320" spans="6:10" ht="15.75" customHeight="1" x14ac:dyDescent="0.25">
      <c r="F320" s="2">
        <v>318</v>
      </c>
      <c r="G320" s="3">
        <f t="shared" si="16"/>
        <v>0.44447206521090238</v>
      </c>
      <c r="H320" s="3">
        <f t="shared" si="17"/>
        <v>0.44443063341752292</v>
      </c>
      <c r="I320" s="3">
        <f t="shared" si="18"/>
        <v>0.11109730137155981</v>
      </c>
      <c r="J320" s="3">
        <f t="shared" si="19"/>
        <v>0.88890269862844018</v>
      </c>
    </row>
    <row r="321" spans="6:10" ht="15.75" customHeight="1" x14ac:dyDescent="0.25">
      <c r="F321" s="2">
        <v>319</v>
      </c>
      <c r="G321" s="3">
        <f t="shared" si="16"/>
        <v>0.44447123657542098</v>
      </c>
      <c r="H321" s="3">
        <f t="shared" si="17"/>
        <v>0.44443104777330528</v>
      </c>
      <c r="I321" s="3">
        <f t="shared" si="18"/>
        <v>0.11109771565125884</v>
      </c>
      <c r="J321" s="3">
        <f t="shared" si="19"/>
        <v>0.88890228434874119</v>
      </c>
    </row>
    <row r="322" spans="6:10" ht="15.75" customHeight="1" x14ac:dyDescent="0.25">
      <c r="F322" s="2">
        <v>320</v>
      </c>
      <c r="G322" s="3">
        <f t="shared" si="16"/>
        <v>0.44447043279974202</v>
      </c>
      <c r="H322" s="3">
        <f t="shared" si="17"/>
        <v>0.4444314496969381</v>
      </c>
      <c r="I322" s="3">
        <f t="shared" si="18"/>
        <v>0.11109811750330492</v>
      </c>
      <c r="J322" s="3">
        <f t="shared" si="19"/>
        <v>0.88890188249669511</v>
      </c>
    </row>
    <row r="323" spans="6:10" ht="15.75" customHeight="1" x14ac:dyDescent="0.25">
      <c r="F323" s="2">
        <v>321</v>
      </c>
      <c r="G323" s="3">
        <f t="shared" ref="G323:G386" si="20">(G322*$B$5)+(H322*$B$6)+(I322*$B$7)</f>
        <v>0.44446965313802783</v>
      </c>
      <c r="H323" s="3">
        <f t="shared" ref="H323:H386" si="21">(G322*$C$5)+(H322*$C$6)+(I322*$C$7)</f>
        <v>0.44443183956147309</v>
      </c>
      <c r="I323" s="3">
        <f t="shared" ref="I323:I386" si="22">(G322*$D$5)+(H322*$D$6)+(I322*$D$7)</f>
        <v>0.111098507300484</v>
      </c>
      <c r="J323" s="3">
        <f t="shared" ref="J323:J386" si="23">1-I323</f>
        <v>0.88890149269951602</v>
      </c>
    </row>
    <row r="324" spans="6:10" ht="15.75" customHeight="1" x14ac:dyDescent="0.25">
      <c r="F324" s="2">
        <v>322</v>
      </c>
      <c r="G324" s="3">
        <f t="shared" si="20"/>
        <v>0.4444688968668184</v>
      </c>
      <c r="H324" s="3">
        <f t="shared" si="21"/>
        <v>0.44443221772876534</v>
      </c>
      <c r="I324" s="3">
        <f t="shared" si="22"/>
        <v>0.11109888540440106</v>
      </c>
      <c r="J324" s="3">
        <f t="shared" si="23"/>
        <v>0.88890111459559895</v>
      </c>
    </row>
    <row r="325" spans="6:10" ht="15.75" customHeight="1" x14ac:dyDescent="0.25">
      <c r="F325" s="2">
        <v>323</v>
      </c>
      <c r="G325" s="3">
        <f t="shared" si="20"/>
        <v>0.44446816328436001</v>
      </c>
      <c r="H325" s="3">
        <f t="shared" si="21"/>
        <v>0.44443258454980944</v>
      </c>
      <c r="I325" s="3">
        <f t="shared" si="22"/>
        <v>0.11109925216581536</v>
      </c>
      <c r="J325" s="3">
        <f t="shared" si="23"/>
        <v>0.8889007478341846</v>
      </c>
    </row>
    <row r="326" spans="6:10" ht="15.75" customHeight="1" x14ac:dyDescent="0.25">
      <c r="F326" s="2">
        <v>324</v>
      </c>
      <c r="G326" s="3">
        <f t="shared" si="20"/>
        <v>0.44446745170995378</v>
      </c>
      <c r="H326" s="3">
        <f t="shared" si="21"/>
        <v>0.44443294036506537</v>
      </c>
      <c r="I326" s="3">
        <f t="shared" si="22"/>
        <v>0.11109960792496563</v>
      </c>
      <c r="J326" s="3">
        <f t="shared" si="23"/>
        <v>0.88890039207503435</v>
      </c>
    </row>
    <row r="327" spans="6:10" ht="15.75" customHeight="1" x14ac:dyDescent="0.25">
      <c r="F327" s="2">
        <v>325</v>
      </c>
      <c r="G327" s="3">
        <f t="shared" si="20"/>
        <v>0.44446676148332398</v>
      </c>
      <c r="H327" s="3">
        <f t="shared" si="21"/>
        <v>0.44443328550477512</v>
      </c>
      <c r="I327" s="3">
        <f t="shared" si="22"/>
        <v>0.11109995301188562</v>
      </c>
      <c r="J327" s="3">
        <f t="shared" si="23"/>
        <v>0.88890004698811442</v>
      </c>
    </row>
    <row r="328" spans="6:10" ht="15.75" customHeight="1" x14ac:dyDescent="0.25">
      <c r="F328" s="2">
        <v>326</v>
      </c>
      <c r="G328" s="3">
        <f t="shared" si="20"/>
        <v>0.44446609196400511</v>
      </c>
      <c r="H328" s="3">
        <f t="shared" si="21"/>
        <v>0.44443362028926953</v>
      </c>
      <c r="I328" s="3">
        <f t="shared" si="22"/>
        <v>0.11110028774671007</v>
      </c>
      <c r="J328" s="3">
        <f t="shared" si="23"/>
        <v>0.8888997122532899</v>
      </c>
    </row>
    <row r="329" spans="6:10" ht="15.75" customHeight="1" x14ac:dyDescent="0.25">
      <c r="F329" s="2">
        <v>327</v>
      </c>
      <c r="G329" s="3">
        <f t="shared" si="20"/>
        <v>0.4444654425307476</v>
      </c>
      <c r="H329" s="3">
        <f t="shared" si="21"/>
        <v>0.44443394502926548</v>
      </c>
      <c r="I329" s="3">
        <f t="shared" si="22"/>
        <v>0.1111006124399716</v>
      </c>
      <c r="J329" s="3">
        <f t="shared" si="23"/>
        <v>0.8888993875600284</v>
      </c>
    </row>
    <row r="330" spans="6:10" ht="15.75" customHeight="1" x14ac:dyDescent="0.25">
      <c r="F330" s="2">
        <v>328</v>
      </c>
      <c r="G330" s="3">
        <f t="shared" si="20"/>
        <v>0.44446481258094112</v>
      </c>
      <c r="H330" s="3">
        <f t="shared" si="21"/>
        <v>0.44443426002615488</v>
      </c>
      <c r="I330" s="3">
        <f t="shared" si="22"/>
        <v>0.1111009273928886</v>
      </c>
      <c r="J330" s="3">
        <f t="shared" si="23"/>
        <v>0.88889907260711143</v>
      </c>
    </row>
    <row r="331" spans="6:10" ht="15.75" customHeight="1" x14ac:dyDescent="0.25">
      <c r="F331" s="2">
        <v>329</v>
      </c>
      <c r="G331" s="3">
        <f t="shared" si="20"/>
        <v>0.44446420153005534</v>
      </c>
      <c r="H331" s="3">
        <f t="shared" si="21"/>
        <v>0.44443456557228456</v>
      </c>
      <c r="I331" s="3">
        <f t="shared" si="22"/>
        <v>0.11110123289764462</v>
      </c>
      <c r="J331" s="3">
        <f t="shared" si="23"/>
        <v>0.88889876710235538</v>
      </c>
    </row>
    <row r="332" spans="6:10" ht="15.75" customHeight="1" x14ac:dyDescent="0.25">
      <c r="F332" s="2">
        <v>330</v>
      </c>
      <c r="G332" s="3">
        <f t="shared" si="20"/>
        <v>0.44446360881109748</v>
      </c>
      <c r="H332" s="3">
        <f t="shared" si="21"/>
        <v>0.44443486195122761</v>
      </c>
      <c r="I332" s="3">
        <f t="shared" si="22"/>
        <v>0.11110152923765929</v>
      </c>
      <c r="J332" s="3">
        <f t="shared" si="23"/>
        <v>0.88889847076234074</v>
      </c>
    </row>
    <row r="333" spans="6:10" ht="15.75" customHeight="1" x14ac:dyDescent="0.25">
      <c r="F333" s="2">
        <v>331</v>
      </c>
      <c r="G333" s="3">
        <f t="shared" si="20"/>
        <v>0.44446303387408598</v>
      </c>
      <c r="H333" s="3">
        <f t="shared" si="21"/>
        <v>0.44443514943804718</v>
      </c>
      <c r="I333" s="3">
        <f t="shared" si="22"/>
        <v>0.1111018166878511</v>
      </c>
      <c r="J333" s="3">
        <f t="shared" si="23"/>
        <v>0.88889818331214887</v>
      </c>
    </row>
    <row r="334" spans="6:10" ht="15.75" customHeight="1" x14ac:dyDescent="0.25">
      <c r="F334" s="2">
        <v>332</v>
      </c>
      <c r="G334" s="3">
        <f t="shared" si="20"/>
        <v>0.44446247618554013</v>
      </c>
      <c r="H334" s="3">
        <f t="shared" si="21"/>
        <v>0.44443542829955163</v>
      </c>
      <c r="I334" s="3">
        <f t="shared" si="22"/>
        <v>0.11110209551489246</v>
      </c>
      <c r="J334" s="3">
        <f t="shared" si="23"/>
        <v>0.88889790448510753</v>
      </c>
    </row>
    <row r="335" spans="6:10" ht="15.75" customHeight="1" x14ac:dyDescent="0.25">
      <c r="F335" s="2">
        <v>333</v>
      </c>
      <c r="G335" s="3">
        <f t="shared" si="20"/>
        <v>0.44446193522798499</v>
      </c>
      <c r="H335" s="3">
        <f t="shared" si="21"/>
        <v>0.44443569879454237</v>
      </c>
      <c r="I335" s="3">
        <f t="shared" si="22"/>
        <v>0.11110236597745687</v>
      </c>
      <c r="J335" s="3">
        <f t="shared" si="23"/>
        <v>0.88889763402254318</v>
      </c>
    </row>
    <row r="336" spans="6:10" ht="15.75" customHeight="1" x14ac:dyDescent="0.25">
      <c r="F336" s="2">
        <v>334</v>
      </c>
      <c r="G336" s="3">
        <f t="shared" si="20"/>
        <v>0.44446141049947102</v>
      </c>
      <c r="H336" s="3">
        <f t="shared" si="21"/>
        <v>0.44443596117405426</v>
      </c>
      <c r="I336" s="3">
        <f t="shared" si="22"/>
        <v>0.1111026283264589</v>
      </c>
      <c r="J336" s="3">
        <f t="shared" si="23"/>
        <v>0.8888973716735411</v>
      </c>
    </row>
    <row r="337" spans="6:10" ht="15.75" customHeight="1" x14ac:dyDescent="0.25">
      <c r="F337" s="2">
        <v>335</v>
      </c>
      <c r="G337" s="3">
        <f t="shared" si="20"/>
        <v>0.44446090151310841</v>
      </c>
      <c r="H337" s="3">
        <f t="shared" si="21"/>
        <v>0.44443621568158898</v>
      </c>
      <c r="I337" s="3">
        <f t="shared" si="22"/>
        <v>0.1111028828052868</v>
      </c>
      <c r="J337" s="3">
        <f t="shared" si="23"/>
        <v>0.8888971171947132</v>
      </c>
    </row>
    <row r="338" spans="6:10" ht="15.75" customHeight="1" x14ac:dyDescent="0.25">
      <c r="F338" s="2">
        <v>336</v>
      </c>
      <c r="G338" s="3">
        <f t="shared" si="20"/>
        <v>0.44446040779661516</v>
      </c>
      <c r="H338" s="3">
        <f t="shared" si="21"/>
        <v>0.44443646255334068</v>
      </c>
      <c r="I338" s="3">
        <f t="shared" si="22"/>
        <v>0.1111031296500283</v>
      </c>
      <c r="J338" s="3">
        <f t="shared" si="23"/>
        <v>0.88889687034997167</v>
      </c>
    </row>
    <row r="339" spans="6:10" ht="15.75" customHeight="1" x14ac:dyDescent="0.25">
      <c r="F339" s="2">
        <v>337</v>
      </c>
      <c r="G339" s="3">
        <f t="shared" si="20"/>
        <v>0.44445992889187869</v>
      </c>
      <c r="H339" s="3">
        <f t="shared" si="21"/>
        <v>0.44443670201841584</v>
      </c>
      <c r="I339" s="3">
        <f t="shared" si="22"/>
        <v>0.11110336908968958</v>
      </c>
      <c r="J339" s="3">
        <f t="shared" si="23"/>
        <v>0.88889663091031046</v>
      </c>
    </row>
    <row r="340" spans="6:10" ht="15.75" customHeight="1" x14ac:dyDescent="0.25">
      <c r="F340" s="2">
        <v>338</v>
      </c>
      <c r="G340" s="3">
        <f t="shared" si="20"/>
        <v>0.44445946435453082</v>
      </c>
      <c r="H340" s="3">
        <f t="shared" si="21"/>
        <v>0.44443693429904574</v>
      </c>
      <c r="I340" s="3">
        <f t="shared" si="22"/>
        <v>0.11110360134640754</v>
      </c>
      <c r="J340" s="3">
        <f t="shared" si="23"/>
        <v>0.88889639865359249</v>
      </c>
    </row>
    <row r="341" spans="6:10" ht="15.75" customHeight="1" x14ac:dyDescent="0.25">
      <c r="F341" s="2">
        <v>339</v>
      </c>
      <c r="G341" s="3">
        <f t="shared" si="20"/>
        <v>0.4444590137535353</v>
      </c>
      <c r="H341" s="3">
        <f t="shared" si="21"/>
        <v>0.44443715961079283</v>
      </c>
      <c r="I341" s="3">
        <f t="shared" si="22"/>
        <v>0.11110382663565589</v>
      </c>
      <c r="J341" s="3">
        <f t="shared" si="23"/>
        <v>0.88889617336434412</v>
      </c>
    </row>
    <row r="342" spans="6:10" ht="15.75" customHeight="1" x14ac:dyDescent="0.25">
      <c r="F342" s="2">
        <v>340</v>
      </c>
      <c r="G342" s="3">
        <f t="shared" si="20"/>
        <v>0.44445857667078786</v>
      </c>
      <c r="H342" s="3">
        <f t="shared" si="21"/>
        <v>0.44443737816275108</v>
      </c>
      <c r="I342" s="3">
        <f t="shared" si="22"/>
        <v>0.11110404516644504</v>
      </c>
      <c r="J342" s="3">
        <f t="shared" si="23"/>
        <v>0.88889595483355499</v>
      </c>
    </row>
    <row r="343" spans="6:10" ht="15.75" customHeight="1" x14ac:dyDescent="0.25">
      <c r="F343" s="2">
        <v>341</v>
      </c>
      <c r="G343" s="3">
        <f t="shared" si="20"/>
        <v>0.44445815270072825</v>
      </c>
      <c r="H343" s="3">
        <f t="shared" si="21"/>
        <v>0.44443759015773987</v>
      </c>
      <c r="I343" s="3">
        <f t="shared" si="22"/>
        <v>0.11110425714151584</v>
      </c>
      <c r="J343" s="3">
        <f t="shared" si="23"/>
        <v>0.88889574285848416</v>
      </c>
    </row>
    <row r="344" spans="6:10" ht="15.75" customHeight="1" x14ac:dyDescent="0.25">
      <c r="F344" s="2">
        <v>342</v>
      </c>
      <c r="G344" s="3">
        <f t="shared" si="20"/>
        <v>0.44445774144996358</v>
      </c>
      <c r="H344" s="3">
        <f t="shared" si="21"/>
        <v>0.4444377957924926</v>
      </c>
      <c r="I344" s="3">
        <f t="shared" si="22"/>
        <v>0.11110446275752772</v>
      </c>
      <c r="J344" s="3">
        <f t="shared" si="23"/>
        <v>0.88889553724247228</v>
      </c>
    </row>
    <row r="345" spans="6:10" ht="15.75" customHeight="1" x14ac:dyDescent="0.25">
      <c r="F345" s="2">
        <v>343</v>
      </c>
      <c r="G345" s="3">
        <f t="shared" si="20"/>
        <v>0.44445734253690361</v>
      </c>
      <c r="H345" s="3">
        <f t="shared" si="21"/>
        <v>0.44443799525783911</v>
      </c>
      <c r="I345" s="3">
        <f t="shared" si="22"/>
        <v>0.11110466220524104</v>
      </c>
      <c r="J345" s="3">
        <f t="shared" si="23"/>
        <v>0.88889533779475893</v>
      </c>
    </row>
    <row r="346" spans="6:10" ht="15.75" customHeight="1" x14ac:dyDescent="0.25">
      <c r="F346" s="2">
        <v>344</v>
      </c>
      <c r="G346" s="3">
        <f t="shared" si="20"/>
        <v>0.44445695559140658</v>
      </c>
      <c r="H346" s="3">
        <f t="shared" si="21"/>
        <v>0.44443818873888313</v>
      </c>
      <c r="I346" s="3">
        <f t="shared" si="22"/>
        <v>0.111104855669694</v>
      </c>
      <c r="J346" s="3">
        <f t="shared" si="23"/>
        <v>0.88889514433030603</v>
      </c>
    </row>
    <row r="347" spans="6:10" ht="15.75" customHeight="1" x14ac:dyDescent="0.25">
      <c r="F347" s="2">
        <v>345</v>
      </c>
      <c r="G347" s="3">
        <f t="shared" si="20"/>
        <v>0.44445658025443535</v>
      </c>
      <c r="H347" s="3">
        <f t="shared" si="21"/>
        <v>0.44443837641517403</v>
      </c>
      <c r="I347" s="3">
        <f t="shared" si="22"/>
        <v>0.11110504333037431</v>
      </c>
      <c r="J347" s="3">
        <f t="shared" si="23"/>
        <v>0.8888949566696257</v>
      </c>
    </row>
    <row r="348" spans="6:10" ht="15.75" customHeight="1" x14ac:dyDescent="0.25">
      <c r="F348" s="2">
        <v>346</v>
      </c>
      <c r="G348" s="3">
        <f t="shared" si="20"/>
        <v>0.44445621617772468</v>
      </c>
      <c r="H348" s="3">
        <f t="shared" si="21"/>
        <v>0.44443855846087332</v>
      </c>
      <c r="I348" s="3">
        <f t="shared" si="22"/>
        <v>0.11110522536138563</v>
      </c>
      <c r="J348" s="3">
        <f t="shared" si="23"/>
        <v>0.88889477463861433</v>
      </c>
    </row>
    <row r="349" spans="6:10" ht="15.75" customHeight="1" x14ac:dyDescent="0.25">
      <c r="F349" s="2">
        <v>347</v>
      </c>
      <c r="G349" s="3">
        <f t="shared" si="20"/>
        <v>0.4444558630234578</v>
      </c>
      <c r="H349" s="3">
        <f t="shared" si="21"/>
        <v>0.44443873504491677</v>
      </c>
      <c r="I349" s="3">
        <f t="shared" si="22"/>
        <v>0.11110540193160909</v>
      </c>
      <c r="J349" s="3">
        <f t="shared" si="23"/>
        <v>0.88889459806839088</v>
      </c>
    </row>
    <row r="350" spans="6:10" ht="15.75" customHeight="1" x14ac:dyDescent="0.25">
      <c r="F350" s="2">
        <v>348</v>
      </c>
      <c r="G350" s="3">
        <f t="shared" si="20"/>
        <v>0.44445552046395298</v>
      </c>
      <c r="H350" s="3">
        <f t="shared" si="21"/>
        <v>0.44443890633117072</v>
      </c>
      <c r="I350" s="3">
        <f t="shared" si="22"/>
        <v>0.11110557320485989</v>
      </c>
      <c r="J350" s="3">
        <f t="shared" si="23"/>
        <v>0.88889442679514008</v>
      </c>
    </row>
    <row r="351" spans="6:10" ht="15.75" customHeight="1" x14ac:dyDescent="0.25">
      <c r="F351" s="2">
        <v>349</v>
      </c>
      <c r="G351" s="3">
        <f t="shared" si="20"/>
        <v>0.44445518818135943</v>
      </c>
      <c r="H351" s="3">
        <f t="shared" si="21"/>
        <v>0.44443907247858477</v>
      </c>
      <c r="I351" s="3">
        <f t="shared" si="22"/>
        <v>0.1111057393400393</v>
      </c>
      <c r="J351" s="3">
        <f t="shared" si="23"/>
        <v>0.88889426065996069</v>
      </c>
    </row>
    <row r="352" spans="6:10" ht="15.75" customHeight="1" x14ac:dyDescent="0.25">
      <c r="F352" s="2">
        <v>350</v>
      </c>
      <c r="G352" s="3">
        <f t="shared" si="20"/>
        <v>0.44445486586736238</v>
      </c>
      <c r="H352" s="3">
        <f t="shared" si="21"/>
        <v>0.44443923364133908</v>
      </c>
      <c r="I352" s="3">
        <f t="shared" si="22"/>
        <v>0.11110590049128199</v>
      </c>
      <c r="J352" s="3">
        <f t="shared" si="23"/>
        <v>0.88889409950871801</v>
      </c>
    </row>
    <row r="353" spans="6:10" ht="15.75" customHeight="1" x14ac:dyDescent="0.25">
      <c r="F353" s="2">
        <v>351</v>
      </c>
      <c r="G353" s="3">
        <f t="shared" si="20"/>
        <v>0.4444545532228969</v>
      </c>
      <c r="H353" s="3">
        <f t="shared" si="21"/>
        <v>0.44443938996898741</v>
      </c>
      <c r="I353" s="3">
        <f t="shared" si="22"/>
        <v>0.11110605680809907</v>
      </c>
      <c r="J353" s="3">
        <f t="shared" si="23"/>
        <v>0.88889394319190096</v>
      </c>
    </row>
    <row r="354" spans="6:10" ht="15.75" customHeight="1" x14ac:dyDescent="0.25">
      <c r="F354" s="2">
        <v>352</v>
      </c>
      <c r="G354" s="3">
        <f t="shared" si="20"/>
        <v>0.44445424995787042</v>
      </c>
      <c r="H354" s="3">
        <f t="shared" si="21"/>
        <v>0.44443954160659621</v>
      </c>
      <c r="I354" s="3">
        <f t="shared" si="22"/>
        <v>0.1111062084355167</v>
      </c>
      <c r="J354" s="3">
        <f t="shared" si="23"/>
        <v>0.88889379156448334</v>
      </c>
    </row>
    <row r="355" spans="6:10" ht="15.75" customHeight="1" x14ac:dyDescent="0.25">
      <c r="F355" s="2">
        <v>353</v>
      </c>
      <c r="G355" s="3">
        <f t="shared" si="20"/>
        <v>0.44445395579089358</v>
      </c>
      <c r="H355" s="3">
        <f t="shared" si="21"/>
        <v>0.44443968869487904</v>
      </c>
      <c r="I355" s="3">
        <f t="shared" si="22"/>
        <v>0.11110635551421066</v>
      </c>
      <c r="J355" s="3">
        <f t="shared" si="23"/>
        <v>0.88889364448578934</v>
      </c>
    </row>
    <row r="356" spans="6:10" ht="15.75" customHeight="1" x14ac:dyDescent="0.25">
      <c r="F356" s="2">
        <v>354</v>
      </c>
      <c r="G356" s="3">
        <f t="shared" si="20"/>
        <v>0.44445367044901907</v>
      </c>
      <c r="H356" s="3">
        <f t="shared" si="21"/>
        <v>0.44443983137032733</v>
      </c>
      <c r="I356" s="3">
        <f t="shared" si="22"/>
        <v>0.11110649818063682</v>
      </c>
      <c r="J356" s="3">
        <f t="shared" si="23"/>
        <v>0.88889350181936322</v>
      </c>
    </row>
    <row r="357" spans="6:10" ht="15.75" customHeight="1" x14ac:dyDescent="0.25">
      <c r="F357" s="2">
        <v>355</v>
      </c>
      <c r="G357" s="3">
        <f t="shared" si="20"/>
        <v>0.44445339366748837</v>
      </c>
      <c r="H357" s="3">
        <f t="shared" si="21"/>
        <v>0.44443996976533717</v>
      </c>
      <c r="I357" s="3">
        <f t="shared" si="22"/>
        <v>0.11110663656715772</v>
      </c>
      <c r="J357" s="3">
        <f t="shared" si="23"/>
        <v>0.88889336343284231</v>
      </c>
    </row>
    <row r="358" spans="6:10" ht="15.75" customHeight="1" x14ac:dyDescent="0.25">
      <c r="F358" s="2">
        <v>356</v>
      </c>
      <c r="G358" s="3">
        <f t="shared" si="20"/>
        <v>0.44445312518948588</v>
      </c>
      <c r="H358" s="3">
        <f t="shared" si="21"/>
        <v>0.444440104008332</v>
      </c>
      <c r="I358" s="3">
        <f t="shared" si="22"/>
        <v>0.11110677080216533</v>
      </c>
      <c r="J358" s="3">
        <f t="shared" si="23"/>
        <v>0.88889322919783464</v>
      </c>
    </row>
    <row r="359" spans="6:10" ht="15.75" customHeight="1" x14ac:dyDescent="0.25">
      <c r="F359" s="2">
        <v>357</v>
      </c>
      <c r="G359" s="3">
        <f t="shared" si="20"/>
        <v>0.44445286476590096</v>
      </c>
      <c r="H359" s="3">
        <f t="shared" si="21"/>
        <v>0.44444023422388207</v>
      </c>
      <c r="I359" s="3">
        <f t="shared" si="22"/>
        <v>0.11110690101020017</v>
      </c>
      <c r="J359" s="3">
        <f t="shared" si="23"/>
        <v>0.88889309898979985</v>
      </c>
    </row>
    <row r="360" spans="6:10" ht="15.75" customHeight="1" x14ac:dyDescent="0.25">
      <c r="F360" s="2">
        <v>358</v>
      </c>
      <c r="G360" s="3">
        <f t="shared" si="20"/>
        <v>0.44445261215509646</v>
      </c>
      <c r="H360" s="3">
        <f t="shared" si="21"/>
        <v>0.44444036053281977</v>
      </c>
      <c r="I360" s="3">
        <f t="shared" si="22"/>
        <v>0.11110702731206687</v>
      </c>
      <c r="J360" s="3">
        <f t="shared" si="23"/>
        <v>0.8888929726879331</v>
      </c>
    </row>
    <row r="361" spans="6:10" ht="15.75" customHeight="1" x14ac:dyDescent="0.25">
      <c r="F361" s="2">
        <v>359</v>
      </c>
      <c r="G361" s="3">
        <f t="shared" si="20"/>
        <v>0.44445236712268466</v>
      </c>
      <c r="H361" s="3">
        <f t="shared" si="21"/>
        <v>0.44444048305235218</v>
      </c>
      <c r="I361" s="3">
        <f t="shared" si="22"/>
        <v>0.11110714982494616</v>
      </c>
      <c r="J361" s="3">
        <f t="shared" si="23"/>
        <v>0.88889285017505382</v>
      </c>
    </row>
    <row r="362" spans="6:10" ht="15.75" customHeight="1" x14ac:dyDescent="0.25">
      <c r="F362" s="2">
        <v>360</v>
      </c>
      <c r="G362" s="3">
        <f t="shared" si="20"/>
        <v>0.4444521294413098</v>
      </c>
      <c r="H362" s="3">
        <f t="shared" si="21"/>
        <v>0.44444060189616957</v>
      </c>
      <c r="I362" s="3">
        <f t="shared" si="22"/>
        <v>0.1111072686625036</v>
      </c>
      <c r="J362" s="3">
        <f t="shared" si="23"/>
        <v>0.88889273133749636</v>
      </c>
    </row>
    <row r="363" spans="6:10" ht="15.75" customHeight="1" x14ac:dyDescent="0.25">
      <c r="F363" s="2">
        <v>361</v>
      </c>
      <c r="G363" s="3">
        <f t="shared" si="20"/>
        <v>0.4444518988904369</v>
      </c>
      <c r="H363" s="3">
        <f t="shared" si="21"/>
        <v>0.44444071717455103</v>
      </c>
      <c r="I363" s="3">
        <f t="shared" si="22"/>
        <v>0.11110738393499504</v>
      </c>
      <c r="J363" s="3">
        <f t="shared" si="23"/>
        <v>0.88889261606500491</v>
      </c>
    </row>
    <row r="364" spans="6:10" ht="15.75" customHeight="1" x14ac:dyDescent="0.25">
      <c r="F364" s="2">
        <v>362</v>
      </c>
      <c r="G364" s="3">
        <f t="shared" si="20"/>
        <v>0.44445167525614726</v>
      </c>
      <c r="H364" s="3">
        <f t="shared" si="21"/>
        <v>0.44444082899446674</v>
      </c>
      <c r="I364" s="3">
        <f t="shared" si="22"/>
        <v>0.11110749574936887</v>
      </c>
      <c r="J364" s="3">
        <f t="shared" si="23"/>
        <v>0.88889250425063115</v>
      </c>
    </row>
    <row r="365" spans="6:10" ht="15.75" customHeight="1" x14ac:dyDescent="0.25">
      <c r="F365" s="2">
        <v>363</v>
      </c>
      <c r="G365" s="3">
        <f t="shared" si="20"/>
        <v>0.44445145833094013</v>
      </c>
      <c r="H365" s="3">
        <f t="shared" si="21"/>
        <v>0.4444409374596775</v>
      </c>
      <c r="I365" s="3">
        <f t="shared" si="22"/>
        <v>0.11110760420936525</v>
      </c>
      <c r="J365" s="3">
        <f t="shared" si="23"/>
        <v>0.88889239579063473</v>
      </c>
    </row>
    <row r="366" spans="6:10" ht="15.75" customHeight="1" x14ac:dyDescent="0.25">
      <c r="F366" s="2">
        <v>364</v>
      </c>
      <c r="G366" s="3">
        <f t="shared" si="20"/>
        <v>0.44445124791353985</v>
      </c>
      <c r="H366" s="3">
        <f t="shared" si="21"/>
        <v>0.44444104267083073</v>
      </c>
      <c r="I366" s="3">
        <f t="shared" si="22"/>
        <v>0.11110770941561231</v>
      </c>
      <c r="J366" s="3">
        <f t="shared" si="23"/>
        <v>0.88889229058438768</v>
      </c>
    </row>
    <row r="367" spans="6:10" ht="15.75" customHeight="1" x14ac:dyDescent="0.25">
      <c r="F367" s="2">
        <v>365</v>
      </c>
      <c r="G367" s="3">
        <f t="shared" si="20"/>
        <v>0.44445104380870903</v>
      </c>
      <c r="H367" s="3">
        <f t="shared" si="21"/>
        <v>0.44444114472555418</v>
      </c>
      <c r="I367" s="3">
        <f t="shared" si="22"/>
        <v>0.11110781146571955</v>
      </c>
      <c r="J367" s="3">
        <f t="shared" si="23"/>
        <v>0.88889218853428043</v>
      </c>
    </row>
    <row r="368" spans="6:10" ht="15.75" customHeight="1" x14ac:dyDescent="0.25">
      <c r="F368" s="2">
        <v>366</v>
      </c>
      <c r="G368" s="3">
        <f t="shared" si="20"/>
        <v>0.44445084582706795</v>
      </c>
      <c r="H368" s="3">
        <f t="shared" si="21"/>
        <v>0.44444124371854637</v>
      </c>
      <c r="I368" s="3">
        <f t="shared" si="22"/>
        <v>0.11110791045436835</v>
      </c>
      <c r="J368" s="3">
        <f t="shared" si="23"/>
        <v>0.88889208954563159</v>
      </c>
    </row>
    <row r="369" spans="6:10" ht="15.75" customHeight="1" x14ac:dyDescent="0.25">
      <c r="F369" s="2">
        <v>367</v>
      </c>
      <c r="G369" s="3">
        <f t="shared" si="20"/>
        <v>0.44445065378491821</v>
      </c>
      <c r="H369" s="3">
        <f t="shared" si="21"/>
        <v>0.44444133974166461</v>
      </c>
      <c r="I369" s="3">
        <f t="shared" si="22"/>
        <v>0.11110800647339983</v>
      </c>
      <c r="J369" s="3">
        <f t="shared" si="23"/>
        <v>0.8888919935266002</v>
      </c>
    </row>
    <row r="370" spans="6:10" ht="15.75" customHeight="1" x14ac:dyDescent="0.25">
      <c r="F370" s="2">
        <v>368</v>
      </c>
      <c r="G370" s="3">
        <f t="shared" si="20"/>
        <v>0.44445046750407258</v>
      </c>
      <c r="H370" s="3">
        <f t="shared" si="21"/>
        <v>0.44444143288400995</v>
      </c>
      <c r="I370" s="3">
        <f t="shared" si="22"/>
        <v>0.11110809961189999</v>
      </c>
      <c r="J370" s="3">
        <f t="shared" si="23"/>
        <v>0.88889190038809995</v>
      </c>
    </row>
    <row r="371" spans="6:10" ht="15.75" customHeight="1" x14ac:dyDescent="0.25">
      <c r="F371" s="2">
        <v>369</v>
      </c>
      <c r="G371" s="3">
        <f t="shared" si="20"/>
        <v>0.44445028681168963</v>
      </c>
      <c r="H371" s="3">
        <f t="shared" si="21"/>
        <v>0.4444415232320103</v>
      </c>
      <c r="I371" s="3">
        <f t="shared" si="22"/>
        <v>0.11110818995628244</v>
      </c>
      <c r="J371" s="3">
        <f t="shared" si="23"/>
        <v>0.88889181004371753</v>
      </c>
    </row>
    <row r="372" spans="6:10" ht="15.75" customHeight="1" x14ac:dyDescent="0.25">
      <c r="F372" s="2">
        <v>370</v>
      </c>
      <c r="G372" s="3">
        <f t="shared" si="20"/>
        <v>0.44445011154011332</v>
      </c>
      <c r="H372" s="3">
        <f t="shared" si="21"/>
        <v>0.44444161086950051</v>
      </c>
      <c r="I372" s="3">
        <f t="shared" si="22"/>
        <v>0.11110827759036852</v>
      </c>
      <c r="J372" s="3">
        <f t="shared" si="23"/>
        <v>0.88889172240963144</v>
      </c>
    </row>
    <row r="373" spans="6:10" ht="15.75" customHeight="1" x14ac:dyDescent="0.25">
      <c r="F373" s="2">
        <v>371</v>
      </c>
      <c r="G373" s="3">
        <f t="shared" si="20"/>
        <v>0.4444499415267173</v>
      </c>
      <c r="H373" s="3">
        <f t="shared" si="21"/>
        <v>0.44444169587779997</v>
      </c>
      <c r="I373" s="3">
        <f t="shared" si="22"/>
        <v>0.11110836259546504</v>
      </c>
      <c r="J373" s="3">
        <f t="shared" si="23"/>
        <v>0.88889163740453492</v>
      </c>
    </row>
    <row r="374" spans="6:10" ht="15.75" customHeight="1" x14ac:dyDescent="0.25">
      <c r="F374" s="2">
        <v>372</v>
      </c>
      <c r="G374" s="3">
        <f t="shared" si="20"/>
        <v>0.44444977661375423</v>
      </c>
      <c r="H374" s="3">
        <f t="shared" si="21"/>
        <v>0.4444417783357883</v>
      </c>
      <c r="I374" s="3">
        <f t="shared" si="22"/>
        <v>0.11110844505043974</v>
      </c>
      <c r="J374" s="3">
        <f t="shared" si="23"/>
        <v>0.88889155494956029</v>
      </c>
    </row>
    <row r="375" spans="6:10" ht="15.75" customHeight="1" x14ac:dyDescent="0.25">
      <c r="F375" s="2">
        <v>373</v>
      </c>
      <c r="G375" s="3">
        <f t="shared" si="20"/>
        <v>0.44444961664820931</v>
      </c>
      <c r="H375" s="3">
        <f t="shared" si="21"/>
        <v>0.44444185831997851</v>
      </c>
      <c r="I375" s="3">
        <f t="shared" si="22"/>
        <v>0.11110852503179441</v>
      </c>
      <c r="J375" s="3">
        <f t="shared" si="23"/>
        <v>0.88889147496820553</v>
      </c>
    </row>
    <row r="376" spans="6:10" ht="15.75" customHeight="1" x14ac:dyDescent="0.25">
      <c r="F376" s="2">
        <v>374</v>
      </c>
      <c r="G376" s="3">
        <f t="shared" si="20"/>
        <v>0.4444494614816582</v>
      </c>
      <c r="H376" s="3">
        <f t="shared" si="21"/>
        <v>0.44444193590458797</v>
      </c>
      <c r="I376" s="3">
        <f t="shared" si="22"/>
        <v>0.11110860261373595</v>
      </c>
      <c r="J376" s="3">
        <f t="shared" si="23"/>
        <v>0.88889139738626399</v>
      </c>
    </row>
    <row r="377" spans="6:10" ht="15.75" customHeight="1" x14ac:dyDescent="0.25">
      <c r="F377" s="2">
        <v>375</v>
      </c>
      <c r="G377" s="3">
        <f t="shared" si="20"/>
        <v>0.44444931097012952</v>
      </c>
      <c r="H377" s="3">
        <f t="shared" si="21"/>
        <v>0.44444201116160742</v>
      </c>
      <c r="I377" s="3">
        <f t="shared" si="22"/>
        <v>0.11110867786824512</v>
      </c>
      <c r="J377" s="3">
        <f t="shared" si="23"/>
        <v>0.88889132213175492</v>
      </c>
    </row>
    <row r="378" spans="6:10" ht="15.75" customHeight="1" x14ac:dyDescent="0.25">
      <c r="F378" s="2">
        <v>376</v>
      </c>
      <c r="G378" s="3">
        <f t="shared" si="20"/>
        <v>0.44444916497397108</v>
      </c>
      <c r="H378" s="3">
        <f t="shared" si="21"/>
        <v>0.44444208416086761</v>
      </c>
      <c r="I378" s="3">
        <f t="shared" si="22"/>
        <v>0.11110875086514337</v>
      </c>
      <c r="J378" s="3">
        <f t="shared" si="23"/>
        <v>0.88889124913485662</v>
      </c>
    </row>
    <row r="379" spans="6:10" ht="15.75" customHeight="1" x14ac:dyDescent="0.25">
      <c r="F379" s="2">
        <v>377</v>
      </c>
      <c r="G379" s="3">
        <f t="shared" si="20"/>
        <v>0.44444902335772024</v>
      </c>
      <c r="H379" s="3">
        <f t="shared" si="21"/>
        <v>0.44444215497010414</v>
      </c>
      <c r="I379" s="3">
        <f t="shared" si="22"/>
        <v>0.11110882167215758</v>
      </c>
      <c r="J379" s="3">
        <f t="shared" si="23"/>
        <v>0.88889117832784237</v>
      </c>
    </row>
    <row r="380" spans="6:10" ht="15.75" customHeight="1" x14ac:dyDescent="0.25">
      <c r="F380" s="2">
        <v>378</v>
      </c>
      <c r="G380" s="3">
        <f t="shared" si="20"/>
        <v>0.4444488859899785</v>
      </c>
      <c r="H380" s="3">
        <f t="shared" si="21"/>
        <v>0.44444222365502051</v>
      </c>
      <c r="I380" s="3">
        <f t="shared" si="22"/>
        <v>0.11110889035498292</v>
      </c>
      <c r="J380" s="3">
        <f t="shared" si="23"/>
        <v>0.88889110964501705</v>
      </c>
    </row>
    <row r="381" spans="6:10" ht="15.75" customHeight="1" x14ac:dyDescent="0.25">
      <c r="F381" s="2">
        <v>379</v>
      </c>
      <c r="G381" s="3">
        <f t="shared" si="20"/>
        <v>0.44444875274328932</v>
      </c>
      <c r="H381" s="3">
        <f t="shared" si="21"/>
        <v>0.44444229027934873</v>
      </c>
      <c r="I381" s="3">
        <f t="shared" si="22"/>
        <v>0.11110895697734378</v>
      </c>
      <c r="J381" s="3">
        <f t="shared" si="23"/>
        <v>0.8888910430226562</v>
      </c>
    </row>
    <row r="382" spans="6:10" ht="15.75" customHeight="1" x14ac:dyDescent="0.25">
      <c r="F382" s="2">
        <v>380</v>
      </c>
      <c r="G382" s="3">
        <f t="shared" si="20"/>
        <v>0.44444862349401987</v>
      </c>
      <c r="H382" s="3">
        <f t="shared" si="21"/>
        <v>0.44444235490490897</v>
      </c>
      <c r="I382" s="3">
        <f t="shared" si="22"/>
        <v>0.1111090216010529</v>
      </c>
      <c r="J382" s="3">
        <f t="shared" si="23"/>
        <v>0.88889097839894715</v>
      </c>
    </row>
    <row r="383" spans="6:10" ht="15.75" customHeight="1" x14ac:dyDescent="0.25">
      <c r="F383" s="2">
        <v>381</v>
      </c>
      <c r="G383" s="3">
        <f t="shared" si="20"/>
        <v>0.44444849812224646</v>
      </c>
      <c r="H383" s="3">
        <f t="shared" si="21"/>
        <v>0.44444241759166647</v>
      </c>
      <c r="I383" s="3">
        <f t="shared" si="22"/>
        <v>0.11110908428606871</v>
      </c>
      <c r="J383" s="3">
        <f t="shared" si="23"/>
        <v>0.88889091571393131</v>
      </c>
    </row>
    <row r="384" spans="6:10" ht="15.75" customHeight="1" x14ac:dyDescent="0.25">
      <c r="F384" s="2">
        <v>382</v>
      </c>
      <c r="G384" s="3">
        <f t="shared" si="20"/>
        <v>0.44444837651164315</v>
      </c>
      <c r="H384" s="3">
        <f t="shared" si="21"/>
        <v>0.44444247839778744</v>
      </c>
      <c r="I384" s="3">
        <f t="shared" si="22"/>
        <v>0.11110914509055093</v>
      </c>
      <c r="J384" s="3">
        <f t="shared" si="23"/>
        <v>0.88889085490944908</v>
      </c>
    </row>
    <row r="385" spans="6:10" ht="15.75" customHeight="1" x14ac:dyDescent="0.25">
      <c r="F385" s="2">
        <v>383</v>
      </c>
      <c r="G385" s="3">
        <f t="shared" si="20"/>
        <v>0.44444825854937386</v>
      </c>
      <c r="H385" s="3">
        <f t="shared" si="21"/>
        <v>0.44444253737969303</v>
      </c>
      <c r="I385" s="3">
        <f t="shared" si="22"/>
        <v>0.1111092040709146</v>
      </c>
      <c r="J385" s="3">
        <f t="shared" si="23"/>
        <v>0.88889079592908538</v>
      </c>
    </row>
    <row r="386" spans="6:10" ht="15.75" customHeight="1" x14ac:dyDescent="0.25">
      <c r="F386" s="2">
        <v>384</v>
      </c>
      <c r="G386" s="3">
        <f t="shared" si="20"/>
        <v>0.4444481441259876</v>
      </c>
      <c r="H386" s="3">
        <f t="shared" si="21"/>
        <v>0.44444259459211155</v>
      </c>
      <c r="I386" s="3">
        <f t="shared" si="22"/>
        <v>0.1111092612818823</v>
      </c>
      <c r="J386" s="3">
        <f t="shared" si="23"/>
        <v>0.88889073871811775</v>
      </c>
    </row>
    <row r="387" spans="6:10" ht="15.75" customHeight="1" x14ac:dyDescent="0.25">
      <c r="F387" s="2">
        <v>385</v>
      </c>
      <c r="G387" s="3">
        <f t="shared" ref="G387:G450" si="24">(G386*$B$5)+(H386*$B$6)+(I386*$B$7)</f>
        <v>0.444448033135317</v>
      </c>
      <c r="H387" s="3">
        <f t="shared" ref="H387:H450" si="25">(G386*$C$5)+(H386*$C$6)+(I386*$C$7)</f>
        <v>0.44444265008812933</v>
      </c>
      <c r="I387" s="3">
        <f t="shared" ref="I387:I450" si="26">(G386*$D$5)+(H386*$D$6)+(I386*$D$7)</f>
        <v>0.11110931677653503</v>
      </c>
      <c r="J387" s="3">
        <f t="shared" ref="J387:J450" si="27">1-I387</f>
        <v>0.88889068322346498</v>
      </c>
    </row>
    <row r="388" spans="6:10" ht="15.75" customHeight="1" x14ac:dyDescent="0.25">
      <c r="F388" s="2">
        <v>386</v>
      </c>
      <c r="G388" s="3">
        <f t="shared" si="24"/>
        <v>0.44444792547437978</v>
      </c>
      <c r="H388" s="3">
        <f t="shared" si="25"/>
        <v>0.44444270391924012</v>
      </c>
      <c r="I388" s="3">
        <f t="shared" si="26"/>
        <v>0.11110937060636145</v>
      </c>
      <c r="J388" s="3">
        <f t="shared" si="27"/>
        <v>0.8888906293936385</v>
      </c>
    </row>
    <row r="389" spans="6:10" ht="15.75" customHeight="1" x14ac:dyDescent="0.25">
      <c r="F389" s="2">
        <v>387</v>
      </c>
      <c r="G389" s="3">
        <f t="shared" si="24"/>
        <v>0.44444782104328306</v>
      </c>
      <c r="H389" s="3">
        <f t="shared" si="25"/>
        <v>0.44444275613539269</v>
      </c>
      <c r="I389" s="3">
        <f t="shared" si="26"/>
        <v>0.11110942282130551</v>
      </c>
      <c r="J389" s="3">
        <f t="shared" si="27"/>
        <v>0.88889057717869446</v>
      </c>
    </row>
    <row r="390" spans="6:10" ht="15.75" customHeight="1" x14ac:dyDescent="0.25">
      <c r="F390" s="2">
        <v>388</v>
      </c>
      <c r="G390" s="3">
        <f t="shared" si="24"/>
        <v>0.44444771974513109</v>
      </c>
      <c r="H390" s="3">
        <f t="shared" si="25"/>
        <v>0.44444280678503723</v>
      </c>
      <c r="I390" s="3">
        <f t="shared" si="26"/>
        <v>0.11110947346981298</v>
      </c>
      <c r="J390" s="3">
        <f t="shared" si="27"/>
        <v>0.88889052653018696</v>
      </c>
    </row>
    <row r="391" spans="6:10" ht="15.75" customHeight="1" x14ac:dyDescent="0.25">
      <c r="F391" s="2">
        <v>389</v>
      </c>
      <c r="G391" s="3">
        <f t="shared" si="24"/>
        <v>0.4444476214859347</v>
      </c>
      <c r="H391" s="3">
        <f t="shared" si="25"/>
        <v>0.44444285591517035</v>
      </c>
      <c r="I391" s="3">
        <f t="shared" si="26"/>
        <v>0.11110952259887626</v>
      </c>
      <c r="J391" s="3">
        <f t="shared" si="27"/>
        <v>0.8888904774011237</v>
      </c>
    </row>
    <row r="392" spans="6:10" ht="15.75" customHeight="1" x14ac:dyDescent="0.25">
      <c r="F392" s="2">
        <v>390</v>
      </c>
      <c r="G392" s="3">
        <f t="shared" si="24"/>
        <v>0.44444752617452454</v>
      </c>
      <c r="H392" s="3">
        <f t="shared" si="25"/>
        <v>0.44444290357137872</v>
      </c>
      <c r="I392" s="3">
        <f t="shared" si="26"/>
        <v>0.111109570254078</v>
      </c>
      <c r="J392" s="3">
        <f t="shared" si="27"/>
        <v>0.88889042974592203</v>
      </c>
    </row>
    <row r="393" spans="6:10" ht="15.75" customHeight="1" x14ac:dyDescent="0.25">
      <c r="F393" s="2">
        <v>391</v>
      </c>
      <c r="G393" s="3">
        <f t="shared" si="24"/>
        <v>0.44444743372246648</v>
      </c>
      <c r="H393" s="3">
        <f t="shared" si="25"/>
        <v>0.44444294979788129</v>
      </c>
      <c r="I393" s="3">
        <f t="shared" si="26"/>
        <v>0.11110961647963347</v>
      </c>
      <c r="J393" s="3">
        <f t="shared" si="27"/>
        <v>0.88889038352036653</v>
      </c>
    </row>
    <row r="394" spans="6:10" ht="15.75" customHeight="1" x14ac:dyDescent="0.25">
      <c r="F394" s="2">
        <v>392</v>
      </c>
      <c r="G394" s="3">
        <f t="shared" si="24"/>
        <v>0.44444734404397929</v>
      </c>
      <c r="H394" s="3">
        <f t="shared" si="25"/>
        <v>0.44444299463757042</v>
      </c>
      <c r="I394" s="3">
        <f t="shared" si="26"/>
        <v>0.11110966131843145</v>
      </c>
      <c r="J394" s="3">
        <f t="shared" si="27"/>
        <v>0.88889033868156853</v>
      </c>
    </row>
    <row r="395" spans="6:10" ht="15.75" customHeight="1" x14ac:dyDescent="0.25">
      <c r="F395" s="2">
        <v>393</v>
      </c>
      <c r="G395" s="3">
        <f t="shared" si="24"/>
        <v>0.44444725705585536</v>
      </c>
      <c r="H395" s="3">
        <f t="shared" si="25"/>
        <v>0.4444430381320516</v>
      </c>
      <c r="I395" s="3">
        <f t="shared" si="26"/>
        <v>0.11110970481207415</v>
      </c>
      <c r="J395" s="3">
        <f t="shared" si="27"/>
        <v>0.88889029518792584</v>
      </c>
    </row>
    <row r="396" spans="6:10" ht="15.75" customHeight="1" x14ac:dyDescent="0.25">
      <c r="F396" s="2">
        <v>394</v>
      </c>
      <c r="G396" s="3">
        <f t="shared" si="24"/>
        <v>0.44444717267738326</v>
      </c>
      <c r="H396" s="3">
        <f t="shared" si="25"/>
        <v>0.44444308032168206</v>
      </c>
      <c r="I396" s="3">
        <f t="shared" si="26"/>
        <v>0.11110974700091569</v>
      </c>
      <c r="J396" s="3">
        <f t="shared" si="27"/>
        <v>0.88889025299908431</v>
      </c>
    </row>
    <row r="397" spans="6:10" ht="15.75" customHeight="1" x14ac:dyDescent="0.25">
      <c r="F397" s="2">
        <v>395</v>
      </c>
      <c r="G397" s="3">
        <f t="shared" si="24"/>
        <v>0.44444709083027301</v>
      </c>
      <c r="H397" s="3">
        <f t="shared" si="25"/>
        <v>0.44444312124560831</v>
      </c>
      <c r="I397" s="3">
        <f t="shared" si="26"/>
        <v>0.11110978792409965</v>
      </c>
      <c r="J397" s="3">
        <f t="shared" si="27"/>
        <v>0.88889021207590035</v>
      </c>
    </row>
    <row r="398" spans="6:10" ht="15.75" customHeight="1" x14ac:dyDescent="0.25">
      <c r="F398" s="2">
        <v>396</v>
      </c>
      <c r="G398" s="3">
        <f t="shared" si="24"/>
        <v>0.44444701143858328</v>
      </c>
      <c r="H398" s="3">
        <f t="shared" si="25"/>
        <v>0.44444316094180236</v>
      </c>
      <c r="I398" s="3">
        <f t="shared" si="26"/>
        <v>0.11110982761959529</v>
      </c>
      <c r="J398" s="3">
        <f t="shared" si="27"/>
        <v>0.88889017238040469</v>
      </c>
    </row>
    <row r="399" spans="6:10" ht="15.75" customHeight="1" x14ac:dyDescent="0.25">
      <c r="F399" s="2">
        <v>397</v>
      </c>
      <c r="G399" s="3">
        <f t="shared" si="24"/>
        <v>0.44444693442865096</v>
      </c>
      <c r="H399" s="3">
        <f t="shared" si="25"/>
        <v>0.44444319944709704</v>
      </c>
      <c r="I399" s="3">
        <f t="shared" si="26"/>
        <v>0.11110986612423282</v>
      </c>
      <c r="J399" s="3">
        <f t="shared" si="27"/>
        <v>0.88889013387576721</v>
      </c>
    </row>
    <row r="400" spans="6:10" ht="15.75" customHeight="1" x14ac:dyDescent="0.25">
      <c r="F400" s="2">
        <v>398</v>
      </c>
      <c r="G400" s="3">
        <f t="shared" si="24"/>
        <v>0.44444685972902304</v>
      </c>
      <c r="H400" s="3">
        <f t="shared" si="25"/>
        <v>0.44444323679722014</v>
      </c>
      <c r="I400" s="3">
        <f t="shared" si="26"/>
        <v>0.1111099034737376</v>
      </c>
      <c r="J400" s="3">
        <f t="shared" si="27"/>
        <v>0.88889009652626239</v>
      </c>
    </row>
    <row r="401" spans="6:10" ht="15.75" customHeight="1" x14ac:dyDescent="0.25">
      <c r="F401" s="2">
        <v>399</v>
      </c>
      <c r="G401" s="3">
        <f t="shared" si="24"/>
        <v>0.44444678727038989</v>
      </c>
      <c r="H401" s="3">
        <f t="shared" si="25"/>
        <v>0.44444327302682757</v>
      </c>
      <c r="I401" s="3">
        <f t="shared" si="26"/>
        <v>0.11110993970276324</v>
      </c>
      <c r="J401" s="3">
        <f t="shared" si="27"/>
        <v>0.88889006029723672</v>
      </c>
    </row>
    <row r="402" spans="6:10" ht="15.75" customHeight="1" x14ac:dyDescent="0.25">
      <c r="F402" s="2">
        <v>400</v>
      </c>
      <c r="G402" s="3">
        <f t="shared" si="24"/>
        <v>0.44444671698552141</v>
      </c>
      <c r="H402" s="3">
        <f t="shared" si="25"/>
        <v>0.44444330816953553</v>
      </c>
      <c r="I402" s="3">
        <f t="shared" si="26"/>
        <v>0.11110997484492376</v>
      </c>
      <c r="J402" s="3">
        <f t="shared" si="27"/>
        <v>0.8888900251550762</v>
      </c>
    </row>
    <row r="403" spans="6:10" ht="15.75" customHeight="1" x14ac:dyDescent="0.25">
      <c r="F403" s="2">
        <v>401</v>
      </c>
      <c r="G403" s="3">
        <f t="shared" si="24"/>
        <v>0.44444664880920431</v>
      </c>
      <c r="H403" s="3">
        <f t="shared" si="25"/>
        <v>0.44444334225795157</v>
      </c>
      <c r="I403" s="3">
        <f t="shared" si="26"/>
        <v>0.11111000893282476</v>
      </c>
      <c r="J403" s="3">
        <f t="shared" si="27"/>
        <v>0.88888999106717526</v>
      </c>
    </row>
    <row r="404" spans="6:10" ht="15.75" customHeight="1" x14ac:dyDescent="0.25">
      <c r="F404" s="2">
        <v>402</v>
      </c>
      <c r="G404" s="3">
        <f t="shared" si="24"/>
        <v>0.44444658267818171</v>
      </c>
      <c r="H404" s="3">
        <f t="shared" si="25"/>
        <v>0.44444337532370515</v>
      </c>
      <c r="I404" s="3">
        <f t="shared" si="26"/>
        <v>0.11111004199809374</v>
      </c>
      <c r="J404" s="3">
        <f t="shared" si="27"/>
        <v>0.88888995800190629</v>
      </c>
    </row>
    <row r="405" spans="6:10" ht="15.75" customHeight="1" x14ac:dyDescent="0.25">
      <c r="F405" s="2">
        <v>403</v>
      </c>
      <c r="G405" s="3">
        <f t="shared" si="24"/>
        <v>0.44444651853109451</v>
      </c>
      <c r="H405" s="3">
        <f t="shared" si="25"/>
        <v>0.44444340739747673</v>
      </c>
      <c r="I405" s="3">
        <f t="shared" si="26"/>
        <v>0.11111007407140934</v>
      </c>
      <c r="J405" s="3">
        <f t="shared" si="27"/>
        <v>0.88888992592859062</v>
      </c>
    </row>
    <row r="406" spans="6:10" ht="15.75" customHeight="1" x14ac:dyDescent="0.25">
      <c r="F406" s="2">
        <v>404</v>
      </c>
      <c r="G406" s="3">
        <f t="shared" si="24"/>
        <v>0.44444645630842433</v>
      </c>
      <c r="H406" s="3">
        <f t="shared" si="25"/>
        <v>0.44444343850902635</v>
      </c>
      <c r="I406" s="3">
        <f t="shared" si="26"/>
        <v>0.11111010518252989</v>
      </c>
      <c r="J406" s="3">
        <f t="shared" si="27"/>
        <v>0.88888989481747016</v>
      </c>
    </row>
    <row r="407" spans="6:10" ht="15.75" customHeight="1" x14ac:dyDescent="0.25">
      <c r="F407" s="2">
        <v>405</v>
      </c>
      <c r="G407" s="3">
        <f t="shared" si="24"/>
        <v>0.4444463959524384</v>
      </c>
      <c r="H407" s="3">
        <f t="shared" si="25"/>
        <v>0.44444346868722107</v>
      </c>
      <c r="I407" s="3">
        <f t="shared" si="26"/>
        <v>0.11111013536032101</v>
      </c>
      <c r="J407" s="3">
        <f t="shared" si="27"/>
        <v>0.88888986463967901</v>
      </c>
    </row>
    <row r="408" spans="6:10" ht="15.75" customHeight="1" x14ac:dyDescent="0.25">
      <c r="F408" s="2">
        <v>406</v>
      </c>
      <c r="G408" s="3">
        <f t="shared" si="24"/>
        <v>0.44444633740713596</v>
      </c>
      <c r="H408" s="3">
        <f t="shared" si="25"/>
        <v>0.44444349796006216</v>
      </c>
      <c r="I408" s="3">
        <f t="shared" si="26"/>
        <v>0.1111101646327823</v>
      </c>
      <c r="J408" s="3">
        <f t="shared" si="27"/>
        <v>0.88888983536721766</v>
      </c>
    </row>
    <row r="409" spans="6:10" ht="15.75" customHeight="1" x14ac:dyDescent="0.25">
      <c r="F409" s="2">
        <v>407</v>
      </c>
      <c r="G409" s="3">
        <f t="shared" si="24"/>
        <v>0.4444462806181963</v>
      </c>
      <c r="H409" s="3">
        <f t="shared" si="25"/>
        <v>0.44444352635471063</v>
      </c>
      <c r="I409" s="3">
        <f t="shared" si="26"/>
        <v>0.11111019302707342</v>
      </c>
      <c r="J409" s="3">
        <f t="shared" si="27"/>
        <v>0.88888980697292652</v>
      </c>
    </row>
    <row r="410" spans="6:10" ht="15.75" customHeight="1" x14ac:dyDescent="0.25">
      <c r="F410" s="2">
        <v>408</v>
      </c>
      <c r="G410" s="3">
        <f t="shared" si="24"/>
        <v>0.44444622553292829</v>
      </c>
      <c r="H410" s="3">
        <f t="shared" si="25"/>
        <v>0.44444355389751272</v>
      </c>
      <c r="I410" s="3">
        <f t="shared" si="26"/>
        <v>0.11111022056953929</v>
      </c>
      <c r="J410" s="3">
        <f t="shared" si="27"/>
        <v>0.88888977943046066</v>
      </c>
    </row>
    <row r="411" spans="6:10" ht="15.75" customHeight="1" x14ac:dyDescent="0.25">
      <c r="F411" s="2">
        <v>409</v>
      </c>
      <c r="G411" s="3">
        <f t="shared" si="24"/>
        <v>0.44444617210022158</v>
      </c>
      <c r="H411" s="3">
        <f t="shared" si="25"/>
        <v>0.44444358061402423</v>
      </c>
      <c r="I411" s="3">
        <f t="shared" si="26"/>
        <v>0.11111024728573443</v>
      </c>
      <c r="J411" s="3">
        <f t="shared" si="27"/>
        <v>0.88888975271426562</v>
      </c>
    </row>
    <row r="412" spans="6:10" ht="15.75" customHeight="1" x14ac:dyDescent="0.25">
      <c r="F412" s="2">
        <v>410</v>
      </c>
      <c r="G412" s="3">
        <f t="shared" si="24"/>
        <v>0.44444612027049912</v>
      </c>
      <c r="H412" s="3">
        <f t="shared" si="25"/>
        <v>0.44444360652903431</v>
      </c>
      <c r="I412" s="3">
        <f t="shared" si="26"/>
        <v>0.11111027320044681</v>
      </c>
      <c r="J412" s="3">
        <f t="shared" si="27"/>
        <v>0.88888972679955325</v>
      </c>
    </row>
    <row r="413" spans="6:10" ht="15.75" customHeight="1" x14ac:dyDescent="0.25">
      <c r="F413" s="2">
        <v>411</v>
      </c>
      <c r="G413" s="3">
        <f t="shared" si="24"/>
        <v>0.44444606999567127</v>
      </c>
      <c r="H413" s="3">
        <f t="shared" si="25"/>
        <v>0.44444363166658823</v>
      </c>
      <c r="I413" s="3">
        <f t="shared" si="26"/>
        <v>0.11111029833772068</v>
      </c>
      <c r="J413" s="3">
        <f t="shared" si="27"/>
        <v>0.88888970166227932</v>
      </c>
    </row>
    <row r="414" spans="6:10" ht="15.75" customHeight="1" x14ac:dyDescent="0.25">
      <c r="F414" s="2">
        <v>412</v>
      </c>
      <c r="G414" s="3">
        <f t="shared" si="24"/>
        <v>0.44444602122909088</v>
      </c>
      <c r="H414" s="3">
        <f t="shared" si="25"/>
        <v>0.44444365605001013</v>
      </c>
      <c r="I414" s="3">
        <f t="shared" si="26"/>
        <v>0.11111032272087906</v>
      </c>
      <c r="J414" s="3">
        <f t="shared" si="27"/>
        <v>0.88888967727912094</v>
      </c>
    </row>
    <row r="415" spans="6:10" ht="15.75" customHeight="1" x14ac:dyDescent="0.25">
      <c r="F415" s="2">
        <v>413</v>
      </c>
      <c r="G415" s="3">
        <f t="shared" si="24"/>
        <v>0.4444459739255105</v>
      </c>
      <c r="H415" s="3">
        <f t="shared" si="25"/>
        <v>0.44444367970192428</v>
      </c>
      <c r="I415" s="3">
        <f t="shared" si="26"/>
        <v>0.11111034637254526</v>
      </c>
      <c r="J415" s="3">
        <f t="shared" si="27"/>
        <v>0.88888965362745476</v>
      </c>
    </row>
    <row r="416" spans="6:10" ht="15.75" customHeight="1" x14ac:dyDescent="0.25">
      <c r="F416" s="2">
        <v>414</v>
      </c>
      <c r="G416" s="3">
        <f t="shared" si="24"/>
        <v>0.44444592804103994</v>
      </c>
      <c r="H416" s="3">
        <f t="shared" si="25"/>
        <v>0.44444370264427618</v>
      </c>
      <c r="I416" s="3">
        <f t="shared" si="26"/>
        <v>0.11111036931466386</v>
      </c>
      <c r="J416" s="3">
        <f t="shared" si="27"/>
        <v>0.88888963068533611</v>
      </c>
    </row>
    <row r="417" spans="6:10" ht="15.75" customHeight="1" x14ac:dyDescent="0.25">
      <c r="F417" s="2">
        <v>415</v>
      </c>
      <c r="G417" s="3">
        <f t="shared" si="24"/>
        <v>0.44444588353310577</v>
      </c>
      <c r="H417" s="3">
        <f t="shared" si="25"/>
        <v>0.44444372489835299</v>
      </c>
      <c r="I417" s="3">
        <f t="shared" si="26"/>
        <v>0.11111039156852118</v>
      </c>
      <c r="J417" s="3">
        <f t="shared" si="27"/>
        <v>0.88888960843147879</v>
      </c>
    </row>
    <row r="418" spans="6:10" ht="15.75" customHeight="1" x14ac:dyDescent="0.25">
      <c r="F418" s="2">
        <v>416</v>
      </c>
      <c r="G418" s="3">
        <f t="shared" si="24"/>
        <v>0.44444584036041179</v>
      </c>
      <c r="H418" s="3">
        <f t="shared" si="25"/>
        <v>0.44444374648480323</v>
      </c>
      <c r="I418" s="3">
        <f t="shared" si="26"/>
        <v>0.1111104131547649</v>
      </c>
      <c r="J418" s="3">
        <f t="shared" si="27"/>
        <v>0.88888958684523511</v>
      </c>
    </row>
    <row r="419" spans="6:10" ht="15.75" customHeight="1" x14ac:dyDescent="0.25">
      <c r="F419" s="2">
        <v>417</v>
      </c>
      <c r="G419" s="3">
        <f t="shared" si="24"/>
        <v>0.44444579848290061</v>
      </c>
      <c r="H419" s="3">
        <f t="shared" si="25"/>
        <v>0.44444376742365593</v>
      </c>
      <c r="I419" s="3">
        <f t="shared" si="26"/>
        <v>0.1111104340934233</v>
      </c>
      <c r="J419" s="3">
        <f t="shared" si="27"/>
        <v>0.88888956590657675</v>
      </c>
    </row>
    <row r="420" spans="6:10" ht="15.75" customHeight="1" x14ac:dyDescent="0.25">
      <c r="F420" s="2">
        <v>418</v>
      </c>
      <c r="G420" s="3">
        <f t="shared" si="24"/>
        <v>0.44444575786171658</v>
      </c>
      <c r="H420" s="3">
        <f t="shared" si="25"/>
        <v>0.44444378773433935</v>
      </c>
      <c r="I420" s="3">
        <f t="shared" si="26"/>
        <v>0.11111045440392385</v>
      </c>
      <c r="J420" s="3">
        <f t="shared" si="27"/>
        <v>0.88888954559607614</v>
      </c>
    </row>
    <row r="421" spans="6:10" ht="15.75" customHeight="1" x14ac:dyDescent="0.25">
      <c r="F421" s="2">
        <v>419</v>
      </c>
      <c r="G421" s="3">
        <f t="shared" si="24"/>
        <v>0.44444571845916991</v>
      </c>
      <c r="H421" s="3">
        <f t="shared" si="25"/>
        <v>0.44444380743569867</v>
      </c>
      <c r="I421" s="3">
        <f t="shared" si="26"/>
        <v>0.11111047410511116</v>
      </c>
      <c r="J421" s="3">
        <f t="shared" si="27"/>
        <v>0.88888952589488879</v>
      </c>
    </row>
    <row r="422" spans="6:10" ht="15.75" customHeight="1" x14ac:dyDescent="0.25">
      <c r="F422" s="2">
        <v>420</v>
      </c>
      <c r="G422" s="3">
        <f t="shared" si="24"/>
        <v>0.44444568023870129</v>
      </c>
      <c r="H422" s="3">
        <f t="shared" si="25"/>
        <v>0.44444382654601383</v>
      </c>
      <c r="I422" s="3">
        <f t="shared" si="26"/>
        <v>0.11111049321526451</v>
      </c>
      <c r="J422" s="3">
        <f t="shared" si="27"/>
        <v>0.88888950678473555</v>
      </c>
    </row>
    <row r="423" spans="6:10" ht="15.75" customHeight="1" x14ac:dyDescent="0.25">
      <c r="F423" s="2">
        <v>421</v>
      </c>
      <c r="G423" s="3">
        <f t="shared" si="24"/>
        <v>0.4444456431648483</v>
      </c>
      <c r="H423" s="3">
        <f t="shared" si="25"/>
        <v>0.44444384508301649</v>
      </c>
      <c r="I423" s="3">
        <f t="shared" si="26"/>
        <v>0.11111051175211482</v>
      </c>
      <c r="J423" s="3">
        <f t="shared" si="27"/>
        <v>0.88888948824788516</v>
      </c>
    </row>
    <row r="424" spans="6:10" ht="15.75" customHeight="1" x14ac:dyDescent="0.25">
      <c r="F424" s="2">
        <v>422</v>
      </c>
      <c r="G424" s="3">
        <f t="shared" si="24"/>
        <v>0.44444560720321236</v>
      </c>
      <c r="H424" s="3">
        <f t="shared" si="25"/>
        <v>0.44444386306390604</v>
      </c>
      <c r="I424" s="3">
        <f t="shared" si="26"/>
        <v>0.11111052973286112</v>
      </c>
      <c r="J424" s="3">
        <f t="shared" si="27"/>
        <v>0.88888947026713883</v>
      </c>
    </row>
    <row r="425" spans="6:10" ht="15.75" customHeight="1" x14ac:dyDescent="0.25">
      <c r="F425" s="2">
        <v>423</v>
      </c>
      <c r="G425" s="3">
        <f t="shared" si="24"/>
        <v>0.44444557232042692</v>
      </c>
      <c r="H425" s="3">
        <f t="shared" si="25"/>
        <v>0.44444388050536615</v>
      </c>
      <c r="I425" s="3">
        <f t="shared" si="26"/>
        <v>0.11111054717418641</v>
      </c>
      <c r="J425" s="3">
        <f t="shared" si="27"/>
        <v>0.88888945282581355</v>
      </c>
    </row>
    <row r="426" spans="6:10" ht="15.75" customHeight="1" x14ac:dyDescent="0.25">
      <c r="F426" s="2">
        <v>424</v>
      </c>
      <c r="G426" s="3">
        <f t="shared" si="24"/>
        <v>0.44444553848412632</v>
      </c>
      <c r="H426" s="3">
        <f t="shared" si="25"/>
        <v>0.44444389742357981</v>
      </c>
      <c r="I426" s="3">
        <f t="shared" si="26"/>
        <v>0.11111056409227325</v>
      </c>
      <c r="J426" s="3">
        <f t="shared" si="27"/>
        <v>0.88888943590772673</v>
      </c>
    </row>
    <row r="427" spans="6:10" ht="15.75" customHeight="1" x14ac:dyDescent="0.25">
      <c r="F427" s="2">
        <v>425</v>
      </c>
      <c r="G427" s="3">
        <f t="shared" si="24"/>
        <v>0.44444550566291602</v>
      </c>
      <c r="H427" s="3">
        <f t="shared" si="25"/>
        <v>0.44444391383424464</v>
      </c>
      <c r="I427" s="3">
        <f t="shared" si="26"/>
        <v>0.11111058050281872</v>
      </c>
      <c r="J427" s="3">
        <f t="shared" si="27"/>
        <v>0.88888941949718125</v>
      </c>
    </row>
    <row r="428" spans="6:10" ht="15.75" customHeight="1" x14ac:dyDescent="0.25">
      <c r="F428" s="2">
        <v>426</v>
      </c>
      <c r="G428" s="3">
        <f t="shared" si="24"/>
        <v>0.44444547382634314</v>
      </c>
      <c r="H428" s="3">
        <f t="shared" si="25"/>
        <v>0.44444392975258717</v>
      </c>
      <c r="I428" s="3">
        <f t="shared" si="26"/>
        <v>0.11111059642104898</v>
      </c>
      <c r="J428" s="3">
        <f t="shared" si="27"/>
        <v>0.88888940357895097</v>
      </c>
    </row>
    <row r="429" spans="6:10" ht="15.75" customHeight="1" x14ac:dyDescent="0.25">
      <c r="F429" s="2">
        <v>427</v>
      </c>
      <c r="G429" s="3">
        <f t="shared" si="24"/>
        <v>0.44444544294486854</v>
      </c>
      <c r="H429" s="3">
        <f t="shared" si="25"/>
        <v>0.44444394519337727</v>
      </c>
      <c r="I429" s="3">
        <f t="shared" si="26"/>
        <v>0.11111061186173343</v>
      </c>
      <c r="J429" s="3">
        <f t="shared" si="27"/>
        <v>0.88888938813826657</v>
      </c>
    </row>
    <row r="430" spans="6:10" ht="15.75" customHeight="1" x14ac:dyDescent="0.25">
      <c r="F430" s="2">
        <v>428</v>
      </c>
      <c r="G430" s="3">
        <f t="shared" si="24"/>
        <v>0.44444541298983919</v>
      </c>
      <c r="H430" s="3">
        <f t="shared" si="25"/>
        <v>0.44444396017094162</v>
      </c>
      <c r="I430" s="3">
        <f t="shared" si="26"/>
        <v>0.11111062683919837</v>
      </c>
      <c r="J430" s="3">
        <f t="shared" si="27"/>
        <v>0.88888937316080163</v>
      </c>
    </row>
    <row r="431" spans="6:10" ht="15.75" customHeight="1" x14ac:dyDescent="0.25">
      <c r="F431" s="2">
        <v>429</v>
      </c>
      <c r="G431" s="3">
        <f t="shared" si="24"/>
        <v>0.44444538393346172</v>
      </c>
      <c r="H431" s="3">
        <f t="shared" si="25"/>
        <v>0.44444397469917712</v>
      </c>
      <c r="I431" s="3">
        <f t="shared" si="26"/>
        <v>0.11111064136734032</v>
      </c>
      <c r="J431" s="3">
        <f t="shared" si="27"/>
        <v>0.88888935863265972</v>
      </c>
    </row>
    <row r="432" spans="6:10" ht="15.75" customHeight="1" x14ac:dyDescent="0.25">
      <c r="F432" s="2">
        <v>430</v>
      </c>
      <c r="G432" s="3">
        <f t="shared" si="24"/>
        <v>0.44444535574877642</v>
      </c>
      <c r="H432" s="3">
        <f t="shared" si="25"/>
        <v>0.44444398879156377</v>
      </c>
      <c r="I432" s="3">
        <f t="shared" si="26"/>
        <v>0.11111065545963893</v>
      </c>
      <c r="J432" s="3">
        <f t="shared" si="27"/>
        <v>0.88888934454036106</v>
      </c>
    </row>
    <row r="433" spans="6:10" ht="15.75" customHeight="1" x14ac:dyDescent="0.25">
      <c r="F433" s="2">
        <v>431</v>
      </c>
      <c r="G433" s="3">
        <f t="shared" si="24"/>
        <v>0.44444532840963258</v>
      </c>
      <c r="H433" s="3">
        <f t="shared" si="25"/>
        <v>0.4444440024611771</v>
      </c>
      <c r="I433" s="3">
        <f t="shared" si="26"/>
        <v>0.11111066912916942</v>
      </c>
      <c r="J433" s="3">
        <f t="shared" si="27"/>
        <v>0.88888933087083055</v>
      </c>
    </row>
    <row r="434" spans="6:10" ht="15.75" customHeight="1" x14ac:dyDescent="0.25">
      <c r="F434" s="2">
        <v>432</v>
      </c>
      <c r="G434" s="3">
        <f t="shared" si="24"/>
        <v>0.44444530189066384</v>
      </c>
      <c r="H434" s="3">
        <f t="shared" si="25"/>
        <v>0.44444401572070041</v>
      </c>
      <c r="I434" s="3">
        <f t="shared" si="26"/>
        <v>0.1111106823886148</v>
      </c>
      <c r="J434" s="3">
        <f t="shared" si="27"/>
        <v>0.88888931761138523</v>
      </c>
    </row>
    <row r="435" spans="6:10" ht="15.75" customHeight="1" x14ac:dyDescent="0.25">
      <c r="F435" s="2">
        <v>433</v>
      </c>
      <c r="G435" s="3">
        <f t="shared" si="24"/>
        <v>0.44444527616726492</v>
      </c>
      <c r="H435" s="3">
        <f t="shared" si="25"/>
        <v>0.44444402858243648</v>
      </c>
      <c r="I435" s="3">
        <f t="shared" si="26"/>
        <v>0.11111069525027757</v>
      </c>
      <c r="J435" s="3">
        <f t="shared" si="27"/>
        <v>0.88888930474972239</v>
      </c>
    </row>
    <row r="436" spans="6:10" ht="15.75" customHeight="1" x14ac:dyDescent="0.25">
      <c r="F436" s="2">
        <v>434</v>
      </c>
      <c r="G436" s="3">
        <f t="shared" si="24"/>
        <v>0.44444525121556872</v>
      </c>
      <c r="H436" s="3">
        <f t="shared" si="25"/>
        <v>0.44444404105831908</v>
      </c>
      <c r="I436" s="3">
        <f t="shared" si="26"/>
        <v>0.11111070772609118</v>
      </c>
      <c r="J436" s="3">
        <f t="shared" si="27"/>
        <v>0.88888929227390878</v>
      </c>
    </row>
    <row r="437" spans="6:10" ht="15.75" customHeight="1" x14ac:dyDescent="0.25">
      <c r="F437" s="2">
        <v>435</v>
      </c>
      <c r="G437" s="3">
        <f t="shared" si="24"/>
        <v>0.444445227012424</v>
      </c>
      <c r="H437" s="3">
        <f t="shared" si="25"/>
        <v>0.44444405315992386</v>
      </c>
      <c r="I437" s="3">
        <f t="shared" si="26"/>
        <v>0.11111071982763104</v>
      </c>
      <c r="J437" s="3">
        <f t="shared" si="27"/>
        <v>0.8888892801723689</v>
      </c>
    </row>
    <row r="438" spans="6:10" ht="15.75" customHeight="1" x14ac:dyDescent="0.25">
      <c r="F438" s="2">
        <v>436</v>
      </c>
      <c r="G438" s="3">
        <f t="shared" si="24"/>
        <v>0.44444520353537431</v>
      </c>
      <c r="H438" s="3">
        <f t="shared" si="25"/>
        <v>0.44444406489847921</v>
      </c>
      <c r="I438" s="3">
        <f t="shared" si="26"/>
        <v>0.11111073156612533</v>
      </c>
      <c r="J438" s="3">
        <f t="shared" si="27"/>
        <v>0.88888926843387472</v>
      </c>
    </row>
    <row r="439" spans="6:10" ht="15.75" customHeight="1" x14ac:dyDescent="0.25">
      <c r="F439" s="2">
        <v>437</v>
      </c>
      <c r="G439" s="3">
        <f t="shared" si="24"/>
        <v>0.44444518076263673</v>
      </c>
      <c r="H439" s="3">
        <f t="shared" si="25"/>
        <v>0.4444440762848767</v>
      </c>
      <c r="I439" s="3">
        <f t="shared" si="26"/>
        <v>0.1111107429524654</v>
      </c>
      <c r="J439" s="3">
        <f t="shared" si="27"/>
        <v>0.88888925704753463</v>
      </c>
    </row>
    <row r="440" spans="6:10" ht="15.75" customHeight="1" x14ac:dyDescent="0.25">
      <c r="F440" s="2">
        <v>438</v>
      </c>
      <c r="G440" s="3">
        <f t="shared" si="24"/>
        <v>0.44444515867308182</v>
      </c>
      <c r="H440" s="3">
        <f t="shared" si="25"/>
        <v>0.44444408732968116</v>
      </c>
      <c r="I440" s="3">
        <f t="shared" si="26"/>
        <v>0.1111107539972158</v>
      </c>
      <c r="J440" s="3">
        <f t="shared" si="27"/>
        <v>0.88888924600278418</v>
      </c>
    </row>
    <row r="441" spans="6:10" ht="15.75" customHeight="1" x14ac:dyDescent="0.25">
      <c r="F441" s="2">
        <v>439</v>
      </c>
      <c r="G441" s="3">
        <f t="shared" si="24"/>
        <v>0.44444513724621404</v>
      </c>
      <c r="H441" s="3">
        <f t="shared" si="25"/>
        <v>0.4444440980431405</v>
      </c>
      <c r="I441" s="3">
        <f t="shared" si="26"/>
        <v>0.11111076471062423</v>
      </c>
      <c r="J441" s="3">
        <f t="shared" si="27"/>
        <v>0.8888892352893758</v>
      </c>
    </row>
    <row r="442" spans="6:10" ht="15.75" customHeight="1" x14ac:dyDescent="0.25">
      <c r="F442" s="2">
        <v>440</v>
      </c>
      <c r="G442" s="3">
        <f t="shared" si="24"/>
        <v>0.44444511646215279</v>
      </c>
      <c r="H442" s="3">
        <f t="shared" si="25"/>
        <v>0.44444410843519505</v>
      </c>
      <c r="I442" s="3">
        <f t="shared" si="26"/>
        <v>0.1111107751026309</v>
      </c>
      <c r="J442" s="3">
        <f t="shared" si="27"/>
        <v>0.8888892248973691</v>
      </c>
    </row>
    <row r="443" spans="6:10" ht="15.75" customHeight="1" x14ac:dyDescent="0.25">
      <c r="F443" s="2">
        <v>441</v>
      </c>
      <c r="G443" s="3">
        <f t="shared" si="24"/>
        <v>0.44444509630161383</v>
      </c>
      <c r="H443" s="3">
        <f t="shared" si="25"/>
        <v>0.44444411851548704</v>
      </c>
      <c r="I443" s="3">
        <f t="shared" si="26"/>
        <v>0.11111078518287784</v>
      </c>
      <c r="J443" s="3">
        <f t="shared" si="27"/>
        <v>0.88888921481712213</v>
      </c>
    </row>
    <row r="444" spans="6:10" ht="15.75" customHeight="1" x14ac:dyDescent="0.25">
      <c r="F444" s="2">
        <v>442</v>
      </c>
      <c r="G444" s="3">
        <f t="shared" si="24"/>
        <v>0.44444507674589151</v>
      </c>
      <c r="H444" s="3">
        <f t="shared" si="25"/>
        <v>0.44444412829336938</v>
      </c>
      <c r="I444" s="3">
        <f t="shared" si="26"/>
        <v>0.1111107949607178</v>
      </c>
      <c r="J444" s="3">
        <f t="shared" si="27"/>
        <v>0.88888920503928226</v>
      </c>
    </row>
    <row r="445" spans="6:10" ht="15.75" customHeight="1" x14ac:dyDescent="0.25">
      <c r="F445" s="2">
        <v>443</v>
      </c>
      <c r="G445" s="3">
        <f t="shared" si="24"/>
        <v>0.44444505777684129</v>
      </c>
      <c r="H445" s="3">
        <f t="shared" si="25"/>
        <v>0.44444413777791436</v>
      </c>
      <c r="I445" s="3">
        <f t="shared" si="26"/>
        <v>0.11111080444522298</v>
      </c>
      <c r="J445" s="3">
        <f t="shared" si="27"/>
        <v>0.88888919555477708</v>
      </c>
    </row>
    <row r="446" spans="6:10" ht="15.75" customHeight="1" x14ac:dyDescent="0.25">
      <c r="F446" s="2">
        <v>444</v>
      </c>
      <c r="G446" s="3">
        <f t="shared" si="24"/>
        <v>0.44444503937686292</v>
      </c>
      <c r="H446" s="3">
        <f t="shared" si="25"/>
        <v>0.44444414697792223</v>
      </c>
      <c r="I446" s="3">
        <f t="shared" si="26"/>
        <v>0.11111081364519339</v>
      </c>
      <c r="J446" s="3">
        <f t="shared" si="27"/>
        <v>0.88888918635480663</v>
      </c>
    </row>
    <row r="447" spans="6:10" ht="15.75" customHeight="1" x14ac:dyDescent="0.25">
      <c r="F447" s="2">
        <v>445</v>
      </c>
      <c r="G447" s="3">
        <f t="shared" si="24"/>
        <v>0.44444502152888427</v>
      </c>
      <c r="H447" s="3">
        <f t="shared" si="25"/>
        <v>0.44444415590192915</v>
      </c>
      <c r="I447" s="3">
        <f t="shared" si="26"/>
        <v>0.11111082256916505</v>
      </c>
      <c r="J447" s="3">
        <f t="shared" si="27"/>
        <v>0.88888917743083495</v>
      </c>
    </row>
    <row r="448" spans="6:10" ht="15.75" customHeight="1" x14ac:dyDescent="0.25">
      <c r="F448" s="2">
        <v>446</v>
      </c>
      <c r="G448" s="3">
        <f t="shared" si="24"/>
        <v>0.44444500421634531</v>
      </c>
      <c r="H448" s="3">
        <f t="shared" si="25"/>
        <v>0.44444416455821523</v>
      </c>
      <c r="I448" s="3">
        <f t="shared" si="26"/>
        <v>0.1111108312254179</v>
      </c>
      <c r="J448" s="3">
        <f t="shared" si="27"/>
        <v>0.88888916877458213</v>
      </c>
    </row>
    <row r="449" spans="6:10" ht="15.75" customHeight="1" x14ac:dyDescent="0.25">
      <c r="F449" s="2">
        <v>447</v>
      </c>
      <c r="G449" s="3">
        <f t="shared" si="24"/>
        <v>0.44444498742318284</v>
      </c>
      <c r="H449" s="3">
        <f t="shared" si="25"/>
        <v>0.44444417295481203</v>
      </c>
      <c r="I449" s="3">
        <f t="shared" si="26"/>
        <v>0.11111083962198348</v>
      </c>
      <c r="J449" s="3">
        <f t="shared" si="27"/>
        <v>0.88888916037801646</v>
      </c>
    </row>
    <row r="450" spans="6:10" ht="15.75" customHeight="1" x14ac:dyDescent="0.25">
      <c r="F450" s="2">
        <v>448</v>
      </c>
      <c r="G450" s="3">
        <f t="shared" si="24"/>
        <v>0.44444497113381554</v>
      </c>
      <c r="H450" s="3">
        <f t="shared" si="25"/>
        <v>0.44444418109951034</v>
      </c>
      <c r="I450" s="3">
        <f t="shared" si="26"/>
        <v>0.11111084776665241</v>
      </c>
      <c r="J450" s="3">
        <f t="shared" si="27"/>
        <v>0.88888915223334763</v>
      </c>
    </row>
    <row r="451" spans="6:10" ht="15.75" customHeight="1" x14ac:dyDescent="0.25">
      <c r="F451" s="2">
        <v>449</v>
      </c>
      <c r="G451" s="3">
        <f t="shared" ref="G451:G460" si="28">(G450*$B$5)+(H450*$B$6)+(I450*$B$7)</f>
        <v>0.44444495533312955</v>
      </c>
      <c r="H451" s="3">
        <f t="shared" ref="H451:H460" si="29">(G450*$C$5)+(H450*$C$6)+(I450*$C$7)</f>
        <v>0.4444441889998671</v>
      </c>
      <c r="I451" s="3">
        <f t="shared" ref="I451:I460" si="30">(G450*$D$5)+(H450*$D$6)+(I450*$D$7)</f>
        <v>0.11111085566698155</v>
      </c>
      <c r="J451" s="3">
        <f t="shared" ref="J451:J460" si="31">1-I451</f>
        <v>0.88888914433301847</v>
      </c>
    </row>
    <row r="452" spans="6:10" ht="15.75" customHeight="1" x14ac:dyDescent="0.25">
      <c r="F452" s="2">
        <v>450</v>
      </c>
      <c r="G452" s="3">
        <f t="shared" si="28"/>
        <v>0.4444449400064644</v>
      </c>
      <c r="H452" s="3">
        <f t="shared" si="29"/>
        <v>0.44444419666321261</v>
      </c>
      <c r="I452" s="3">
        <f t="shared" si="30"/>
        <v>0.11111086333030108</v>
      </c>
      <c r="J452" s="3">
        <f t="shared" si="31"/>
        <v>0.88888913666969893</v>
      </c>
    </row>
    <row r="453" spans="6:10" ht="15.75" customHeight="1" x14ac:dyDescent="0.25">
      <c r="F453" s="2">
        <v>451</v>
      </c>
      <c r="G453" s="3">
        <f t="shared" si="28"/>
        <v>0.44444492513959943</v>
      </c>
      <c r="H453" s="3">
        <f t="shared" si="29"/>
        <v>0.4444442040966573</v>
      </c>
      <c r="I453" s="3">
        <f t="shared" si="30"/>
        <v>0.11111087076372128</v>
      </c>
      <c r="J453" s="3">
        <f t="shared" si="31"/>
        <v>0.88888912923627872</v>
      </c>
    </row>
    <row r="454" spans="6:10" ht="15.75" customHeight="1" x14ac:dyDescent="0.25">
      <c r="F454" s="2">
        <v>452</v>
      </c>
      <c r="G454" s="3">
        <f t="shared" si="28"/>
        <v>0.44444491071874065</v>
      </c>
      <c r="H454" s="3">
        <f t="shared" si="29"/>
        <v>0.4444442113070981</v>
      </c>
      <c r="I454" s="3">
        <f t="shared" si="30"/>
        <v>0.1111108779741391</v>
      </c>
      <c r="J454" s="3">
        <f t="shared" si="31"/>
        <v>0.8888891220258609</v>
      </c>
    </row>
    <row r="455" spans="6:10" ht="15.75" customHeight="1" x14ac:dyDescent="0.25">
      <c r="F455" s="2">
        <v>453</v>
      </c>
      <c r="G455" s="3">
        <f t="shared" si="28"/>
        <v>0.44444489673050791</v>
      </c>
      <c r="H455" s="3">
        <f t="shared" si="29"/>
        <v>0.44444421830122527</v>
      </c>
      <c r="I455" s="3">
        <f t="shared" si="30"/>
        <v>0.11111088496824462</v>
      </c>
      <c r="J455" s="3">
        <f t="shared" si="31"/>
        <v>0.88888911503175538</v>
      </c>
    </row>
    <row r="456" spans="6:10" ht="15.75" customHeight="1" x14ac:dyDescent="0.25">
      <c r="F456" s="2">
        <v>454</v>
      </c>
      <c r="G456" s="3">
        <f t="shared" si="28"/>
        <v>0.44444488316192238</v>
      </c>
      <c r="H456" s="3">
        <f t="shared" si="29"/>
        <v>0.44444422508552817</v>
      </c>
      <c r="I456" s="3">
        <f t="shared" si="30"/>
        <v>0.11111089175252718</v>
      </c>
      <c r="J456" s="3">
        <f t="shared" si="31"/>
        <v>0.8888891082474728</v>
      </c>
    </row>
    <row r="457" spans="6:10" ht="15.75" customHeight="1" x14ac:dyDescent="0.25">
      <c r="F457" s="2">
        <v>455</v>
      </c>
      <c r="G457" s="3">
        <f t="shared" si="28"/>
        <v>0.44444487000039462</v>
      </c>
      <c r="H457" s="3">
        <f t="shared" si="29"/>
        <v>0.44444423166630159</v>
      </c>
      <c r="I457" s="3">
        <f t="shared" si="30"/>
        <v>0.11111089833328146</v>
      </c>
      <c r="J457" s="3">
        <f t="shared" si="31"/>
        <v>0.88888910166671853</v>
      </c>
    </row>
    <row r="458" spans="6:10" ht="15.75" customHeight="1" x14ac:dyDescent="0.25">
      <c r="F458" s="2">
        <v>456</v>
      </c>
      <c r="G458" s="3">
        <f t="shared" si="28"/>
        <v>0.44444485723371285</v>
      </c>
      <c r="H458" s="3">
        <f t="shared" si="29"/>
        <v>0.4444442380496515</v>
      </c>
      <c r="I458" s="3">
        <f t="shared" si="30"/>
        <v>0.11111090471661331</v>
      </c>
      <c r="J458" s="3">
        <f t="shared" si="31"/>
        <v>0.88888909528338667</v>
      </c>
    </row>
    <row r="459" spans="6:10" ht="15.75" customHeight="1" x14ac:dyDescent="0.25">
      <c r="F459" s="2">
        <v>457</v>
      </c>
      <c r="G459" s="3">
        <f t="shared" si="28"/>
        <v>0.44444484485003172</v>
      </c>
      <c r="H459" s="3">
        <f t="shared" si="29"/>
        <v>0.44444424424150053</v>
      </c>
      <c r="I459" s="3">
        <f t="shared" si="30"/>
        <v>0.11111091090844535</v>
      </c>
      <c r="J459" s="3">
        <f t="shared" si="31"/>
        <v>0.88888908909155462</v>
      </c>
    </row>
    <row r="460" spans="6:10" ht="15.75" customHeight="1" x14ac:dyDescent="0.25">
      <c r="F460" s="2">
        <v>458</v>
      </c>
      <c r="G460" s="3">
        <f t="shared" si="28"/>
        <v>0.44444483283786118</v>
      </c>
      <c r="H460" s="3">
        <f t="shared" si="29"/>
        <v>0.44444425024759376</v>
      </c>
      <c r="I460" s="3">
        <f t="shared" si="30"/>
        <v>0.11111091691452261</v>
      </c>
      <c r="J460" s="3">
        <f t="shared" si="31"/>
        <v>0.88888908308547743</v>
      </c>
    </row>
    <row r="461" spans="6:10" ht="15.75" customHeight="1" x14ac:dyDescent="0.25">
      <c r="G461" s="5"/>
      <c r="H461" s="5"/>
      <c r="I461" s="5"/>
      <c r="J461" s="5"/>
    </row>
    <row r="462" spans="6:10" ht="15.75" customHeight="1" x14ac:dyDescent="0.25">
      <c r="G462" s="5"/>
      <c r="H462" s="5"/>
      <c r="I462" s="5"/>
      <c r="J462" s="5"/>
    </row>
    <row r="463" spans="6:10" ht="15.75" customHeight="1" x14ac:dyDescent="0.25">
      <c r="G463" s="5"/>
      <c r="H463" s="5"/>
      <c r="I463" s="5"/>
      <c r="J463" s="5"/>
    </row>
    <row r="464" spans="6:10" ht="15.75" customHeight="1" x14ac:dyDescent="0.25">
      <c r="G464" s="5"/>
      <c r="H464" s="5"/>
      <c r="I464" s="5"/>
      <c r="J464" s="5"/>
    </row>
    <row r="465" spans="7:10" ht="15.75" customHeight="1" x14ac:dyDescent="0.25">
      <c r="G465" s="5"/>
      <c r="H465" s="5"/>
      <c r="I465" s="5"/>
      <c r="J465" s="5"/>
    </row>
    <row r="466" spans="7:10" ht="15.75" customHeight="1" x14ac:dyDescent="0.25">
      <c r="G466" s="5"/>
      <c r="H466" s="5"/>
      <c r="I466" s="5"/>
      <c r="J466" s="5"/>
    </row>
    <row r="467" spans="7:10" ht="15.75" customHeight="1" x14ac:dyDescent="0.25">
      <c r="G467" s="5"/>
      <c r="H467" s="5"/>
      <c r="I467" s="5"/>
      <c r="J467" s="5"/>
    </row>
    <row r="468" spans="7:10" ht="15.75" customHeight="1" x14ac:dyDescent="0.25">
      <c r="G468" s="5"/>
      <c r="H468" s="5"/>
      <c r="I468" s="5"/>
      <c r="J468" s="5"/>
    </row>
    <row r="469" spans="7:10" ht="15.75" customHeight="1" x14ac:dyDescent="0.25">
      <c r="G469" s="5"/>
      <c r="H469" s="5"/>
      <c r="I469" s="5"/>
      <c r="J469" s="5"/>
    </row>
    <row r="470" spans="7:10" ht="15.75" customHeight="1" x14ac:dyDescent="0.25">
      <c r="G470" s="5"/>
      <c r="H470" s="5"/>
      <c r="I470" s="5"/>
      <c r="J470" s="5"/>
    </row>
    <row r="471" spans="7:10" ht="15.75" customHeight="1" x14ac:dyDescent="0.25">
      <c r="G471" s="5"/>
      <c r="H471" s="5"/>
      <c r="I471" s="5"/>
      <c r="J471" s="5"/>
    </row>
    <row r="472" spans="7:10" ht="15.75" customHeight="1" x14ac:dyDescent="0.25">
      <c r="G472" s="5"/>
      <c r="H472" s="5"/>
      <c r="I472" s="5"/>
      <c r="J472" s="5"/>
    </row>
    <row r="473" spans="7:10" ht="15.75" customHeight="1" x14ac:dyDescent="0.25">
      <c r="G473" s="5"/>
      <c r="H473" s="5"/>
      <c r="I473" s="5"/>
      <c r="J473" s="5"/>
    </row>
    <row r="474" spans="7:10" ht="15.75" customHeight="1" x14ac:dyDescent="0.25">
      <c r="G474" s="5"/>
      <c r="H474" s="5"/>
      <c r="I474" s="5"/>
      <c r="J474" s="5"/>
    </row>
    <row r="475" spans="7:10" ht="15.75" customHeight="1" x14ac:dyDescent="0.25">
      <c r="G475" s="5"/>
      <c r="H475" s="5"/>
      <c r="I475" s="5"/>
      <c r="J475" s="5"/>
    </row>
    <row r="476" spans="7:10" ht="15.75" customHeight="1" x14ac:dyDescent="0.25">
      <c r="G476" s="5"/>
      <c r="H476" s="5"/>
      <c r="I476" s="5"/>
      <c r="J476" s="5"/>
    </row>
    <row r="477" spans="7:10" ht="15.75" customHeight="1" x14ac:dyDescent="0.25">
      <c r="G477" s="5"/>
      <c r="H477" s="5"/>
      <c r="I477" s="5"/>
      <c r="J477" s="5"/>
    </row>
    <row r="478" spans="7:10" ht="15.75" customHeight="1" x14ac:dyDescent="0.25">
      <c r="G478" s="5"/>
      <c r="H478" s="5"/>
      <c r="I478" s="5"/>
      <c r="J478" s="5"/>
    </row>
    <row r="479" spans="7:10" ht="15.75" customHeight="1" x14ac:dyDescent="0.25">
      <c r="G479" s="5"/>
      <c r="H479" s="5"/>
      <c r="I479" s="5"/>
      <c r="J479" s="5"/>
    </row>
    <row r="480" spans="7:10" ht="15.75" customHeight="1" x14ac:dyDescent="0.25">
      <c r="G480" s="5"/>
      <c r="H480" s="5"/>
      <c r="I480" s="5"/>
      <c r="J480" s="5"/>
    </row>
    <row r="481" spans="7:10" ht="15.75" customHeight="1" x14ac:dyDescent="0.25">
      <c r="G481" s="5"/>
      <c r="H481" s="5"/>
      <c r="I481" s="5"/>
      <c r="J481" s="5"/>
    </row>
    <row r="482" spans="7:10" ht="15.75" customHeight="1" x14ac:dyDescent="0.25">
      <c r="G482" s="5"/>
      <c r="H482" s="5"/>
      <c r="I482" s="5"/>
      <c r="J482" s="5"/>
    </row>
    <row r="483" spans="7:10" ht="15.75" customHeight="1" x14ac:dyDescent="0.25">
      <c r="G483" s="5"/>
      <c r="H483" s="5"/>
      <c r="I483" s="5"/>
      <c r="J483" s="5"/>
    </row>
    <row r="484" spans="7:10" ht="15.75" customHeight="1" x14ac:dyDescent="0.25">
      <c r="G484" s="5"/>
      <c r="H484" s="5"/>
      <c r="I484" s="5"/>
      <c r="J484" s="5"/>
    </row>
    <row r="485" spans="7:10" ht="15.75" customHeight="1" x14ac:dyDescent="0.25">
      <c r="G485" s="5"/>
      <c r="H485" s="5"/>
      <c r="I485" s="5"/>
      <c r="J485" s="5"/>
    </row>
    <row r="486" spans="7:10" ht="15.75" customHeight="1" x14ac:dyDescent="0.25">
      <c r="G486" s="5"/>
      <c r="H486" s="5"/>
      <c r="I486" s="5"/>
      <c r="J486" s="5"/>
    </row>
    <row r="487" spans="7:10" ht="15.75" customHeight="1" x14ac:dyDescent="0.25">
      <c r="G487" s="5"/>
      <c r="H487" s="5"/>
      <c r="I487" s="5"/>
      <c r="J487" s="5"/>
    </row>
    <row r="488" spans="7:10" ht="15.75" customHeight="1" x14ac:dyDescent="0.25">
      <c r="G488" s="5"/>
      <c r="H488" s="5"/>
      <c r="I488" s="5"/>
      <c r="J488" s="5"/>
    </row>
    <row r="489" spans="7:10" ht="15.75" customHeight="1" x14ac:dyDescent="0.25">
      <c r="G489" s="5"/>
      <c r="H489" s="5"/>
      <c r="I489" s="5"/>
      <c r="J489" s="5"/>
    </row>
    <row r="490" spans="7:10" ht="15.75" customHeight="1" x14ac:dyDescent="0.25">
      <c r="G490" s="5"/>
      <c r="H490" s="5"/>
      <c r="I490" s="5"/>
      <c r="J490" s="5"/>
    </row>
    <row r="491" spans="7:10" ht="15.75" customHeight="1" x14ac:dyDescent="0.25">
      <c r="G491" s="5"/>
      <c r="H491" s="5"/>
      <c r="I491" s="5"/>
      <c r="J491" s="5"/>
    </row>
    <row r="492" spans="7:10" ht="15.75" customHeight="1" x14ac:dyDescent="0.25">
      <c r="G492" s="5"/>
      <c r="H492" s="5"/>
      <c r="I492" s="5"/>
      <c r="J492" s="5"/>
    </row>
    <row r="493" spans="7:10" ht="15.75" customHeight="1" x14ac:dyDescent="0.25">
      <c r="G493" s="5"/>
      <c r="H493" s="5"/>
      <c r="I493" s="5"/>
      <c r="J493" s="5"/>
    </row>
    <row r="494" spans="7:10" ht="15.75" customHeight="1" x14ac:dyDescent="0.25">
      <c r="G494" s="5"/>
      <c r="H494" s="5"/>
      <c r="I494" s="5"/>
      <c r="J494" s="5"/>
    </row>
    <row r="495" spans="7:10" ht="15.75" customHeight="1" x14ac:dyDescent="0.25">
      <c r="G495" s="5"/>
      <c r="H495" s="5"/>
      <c r="I495" s="5"/>
      <c r="J495" s="5"/>
    </row>
    <row r="496" spans="7:10" ht="15.75" customHeight="1" x14ac:dyDescent="0.25">
      <c r="G496" s="5"/>
      <c r="H496" s="5"/>
      <c r="I496" s="5"/>
      <c r="J496" s="5"/>
    </row>
    <row r="497" spans="7:10" ht="15.75" customHeight="1" x14ac:dyDescent="0.25">
      <c r="G497" s="5"/>
      <c r="H497" s="5"/>
      <c r="I497" s="5"/>
      <c r="J497" s="5"/>
    </row>
    <row r="498" spans="7:10" ht="15.75" customHeight="1" x14ac:dyDescent="0.25">
      <c r="G498" s="5"/>
      <c r="H498" s="5"/>
      <c r="I498" s="5"/>
      <c r="J498" s="5"/>
    </row>
    <row r="499" spans="7:10" ht="15.75" customHeight="1" x14ac:dyDescent="0.25">
      <c r="G499" s="5"/>
      <c r="H499" s="5"/>
      <c r="I499" s="5"/>
      <c r="J499" s="5"/>
    </row>
    <row r="500" spans="7:10" ht="15.75" customHeight="1" x14ac:dyDescent="0.25">
      <c r="G500" s="5"/>
      <c r="H500" s="5"/>
      <c r="I500" s="5"/>
      <c r="J500" s="5"/>
    </row>
    <row r="501" spans="7:10" ht="15.75" customHeight="1" x14ac:dyDescent="0.25">
      <c r="G501" s="5"/>
      <c r="H501" s="5"/>
      <c r="I501" s="5"/>
      <c r="J501" s="5"/>
    </row>
    <row r="502" spans="7:10" ht="15.75" customHeight="1" x14ac:dyDescent="0.25">
      <c r="G502" s="5"/>
      <c r="H502" s="5"/>
      <c r="I502" s="5"/>
      <c r="J502" s="5"/>
    </row>
    <row r="503" spans="7:10" ht="15.75" customHeight="1" x14ac:dyDescent="0.25">
      <c r="G503" s="5"/>
      <c r="H503" s="5"/>
      <c r="I503" s="5"/>
      <c r="J503" s="5"/>
    </row>
    <row r="504" spans="7:10" ht="15.75" customHeight="1" x14ac:dyDescent="0.25">
      <c r="G504" s="5"/>
      <c r="H504" s="5"/>
      <c r="I504" s="5"/>
      <c r="J504" s="5"/>
    </row>
    <row r="505" spans="7:10" ht="15.75" customHeight="1" x14ac:dyDescent="0.25">
      <c r="G505" s="5"/>
      <c r="H505" s="5"/>
      <c r="I505" s="5"/>
      <c r="J505" s="5"/>
    </row>
    <row r="506" spans="7:10" ht="15.75" customHeight="1" x14ac:dyDescent="0.25">
      <c r="G506" s="5"/>
      <c r="H506" s="5"/>
      <c r="I506" s="5"/>
      <c r="J506" s="5"/>
    </row>
    <row r="507" spans="7:10" ht="15.75" customHeight="1" x14ac:dyDescent="0.25">
      <c r="G507" s="5"/>
      <c r="H507" s="5"/>
      <c r="I507" s="5"/>
      <c r="J507" s="5"/>
    </row>
    <row r="508" spans="7:10" ht="15.75" customHeight="1" x14ac:dyDescent="0.25">
      <c r="G508" s="5"/>
      <c r="H508" s="5"/>
      <c r="I508" s="5"/>
      <c r="J508" s="5"/>
    </row>
    <row r="509" spans="7:10" ht="15.75" customHeight="1" x14ac:dyDescent="0.25">
      <c r="G509" s="5"/>
      <c r="H509" s="5"/>
      <c r="I509" s="5"/>
      <c r="J509" s="5"/>
    </row>
    <row r="510" spans="7:10" ht="15.75" customHeight="1" x14ac:dyDescent="0.25">
      <c r="G510" s="5"/>
      <c r="H510" s="5"/>
      <c r="I510" s="5"/>
      <c r="J510" s="5"/>
    </row>
    <row r="511" spans="7:10" ht="15.75" customHeight="1" x14ac:dyDescent="0.25">
      <c r="G511" s="5"/>
      <c r="H511" s="5"/>
      <c r="I511" s="5"/>
      <c r="J511" s="5"/>
    </row>
    <row r="512" spans="7:10" ht="15.75" customHeight="1" x14ac:dyDescent="0.25">
      <c r="G512" s="5"/>
      <c r="H512" s="5"/>
      <c r="I512" s="5"/>
      <c r="J512" s="5"/>
    </row>
    <row r="513" spans="7:10" ht="15.75" customHeight="1" x14ac:dyDescent="0.25">
      <c r="G513" s="5"/>
      <c r="H513" s="5"/>
      <c r="I513" s="5"/>
      <c r="J513" s="5"/>
    </row>
    <row r="514" spans="7:10" ht="15.75" customHeight="1" x14ac:dyDescent="0.25">
      <c r="G514" s="5"/>
      <c r="H514" s="5"/>
      <c r="I514" s="5"/>
      <c r="J514" s="5"/>
    </row>
    <row r="515" spans="7:10" ht="15.75" customHeight="1" x14ac:dyDescent="0.25">
      <c r="G515" s="5"/>
      <c r="H515" s="5"/>
      <c r="I515" s="5"/>
      <c r="J515" s="5"/>
    </row>
    <row r="516" spans="7:10" ht="15.75" customHeight="1" x14ac:dyDescent="0.25">
      <c r="G516" s="5"/>
      <c r="H516" s="5"/>
      <c r="I516" s="5"/>
      <c r="J516" s="5"/>
    </row>
    <row r="517" spans="7:10" ht="15.75" customHeight="1" x14ac:dyDescent="0.25">
      <c r="G517" s="5"/>
      <c r="H517" s="5"/>
      <c r="I517" s="5"/>
      <c r="J517" s="5"/>
    </row>
    <row r="518" spans="7:10" ht="15.75" customHeight="1" x14ac:dyDescent="0.25">
      <c r="G518" s="5"/>
      <c r="H518" s="5"/>
      <c r="I518" s="5"/>
      <c r="J518" s="5"/>
    </row>
    <row r="519" spans="7:10" ht="15.75" customHeight="1" x14ac:dyDescent="0.25">
      <c r="G519" s="5"/>
      <c r="H519" s="5"/>
      <c r="I519" s="5"/>
      <c r="J519" s="5"/>
    </row>
    <row r="520" spans="7:10" ht="15.75" customHeight="1" x14ac:dyDescent="0.25">
      <c r="G520" s="5"/>
      <c r="H520" s="5"/>
      <c r="I520" s="5"/>
      <c r="J520" s="5"/>
    </row>
    <row r="521" spans="7:10" ht="15.75" customHeight="1" x14ac:dyDescent="0.25">
      <c r="G521" s="5"/>
      <c r="H521" s="5"/>
      <c r="I521" s="5"/>
      <c r="J521" s="5"/>
    </row>
    <row r="522" spans="7:10" ht="15.75" customHeight="1" x14ac:dyDescent="0.25">
      <c r="G522" s="5"/>
      <c r="H522" s="5"/>
      <c r="I522" s="5"/>
      <c r="J522" s="5"/>
    </row>
    <row r="523" spans="7:10" ht="15.75" customHeight="1" x14ac:dyDescent="0.25">
      <c r="G523" s="5"/>
      <c r="H523" s="5"/>
      <c r="I523" s="5"/>
      <c r="J523" s="5"/>
    </row>
    <row r="524" spans="7:10" ht="15.75" customHeight="1" x14ac:dyDescent="0.25">
      <c r="G524" s="5"/>
      <c r="H524" s="5"/>
      <c r="I524" s="5"/>
      <c r="J524" s="5"/>
    </row>
    <row r="525" spans="7:10" ht="15.75" customHeight="1" x14ac:dyDescent="0.25">
      <c r="G525" s="5"/>
      <c r="H525" s="5"/>
      <c r="I525" s="5"/>
      <c r="J525" s="5"/>
    </row>
    <row r="526" spans="7:10" ht="15.75" customHeight="1" x14ac:dyDescent="0.25">
      <c r="G526" s="5"/>
      <c r="H526" s="5"/>
      <c r="I526" s="5"/>
      <c r="J526" s="5"/>
    </row>
    <row r="527" spans="7:10" ht="15.75" customHeight="1" x14ac:dyDescent="0.25">
      <c r="G527" s="5"/>
      <c r="H527" s="5"/>
      <c r="I527" s="5"/>
      <c r="J527" s="5"/>
    </row>
    <row r="528" spans="7:10" ht="15.75" customHeight="1" x14ac:dyDescent="0.25">
      <c r="G528" s="5"/>
      <c r="H528" s="5"/>
      <c r="I528" s="5"/>
      <c r="J528" s="5"/>
    </row>
    <row r="529" spans="7:10" ht="15.75" customHeight="1" x14ac:dyDescent="0.25">
      <c r="G529" s="5"/>
      <c r="H529" s="5"/>
      <c r="I529" s="5"/>
      <c r="J529" s="5"/>
    </row>
    <row r="530" spans="7:10" ht="15.75" customHeight="1" x14ac:dyDescent="0.25">
      <c r="G530" s="5"/>
      <c r="H530" s="5"/>
      <c r="I530" s="5"/>
      <c r="J530" s="5"/>
    </row>
    <row r="531" spans="7:10" ht="15.75" customHeight="1" x14ac:dyDescent="0.25">
      <c r="G531" s="5"/>
      <c r="H531" s="5"/>
      <c r="I531" s="5"/>
      <c r="J531" s="5"/>
    </row>
    <row r="532" spans="7:10" ht="15.75" customHeight="1" x14ac:dyDescent="0.25">
      <c r="G532" s="5"/>
      <c r="H532" s="5"/>
      <c r="I532" s="5"/>
      <c r="J532" s="5"/>
    </row>
    <row r="533" spans="7:10" ht="15.75" customHeight="1" x14ac:dyDescent="0.25">
      <c r="G533" s="5"/>
      <c r="H533" s="5"/>
      <c r="I533" s="5"/>
      <c r="J533" s="5"/>
    </row>
    <row r="534" spans="7:10" ht="15.75" customHeight="1" x14ac:dyDescent="0.25">
      <c r="G534" s="5"/>
      <c r="H534" s="5"/>
      <c r="I534" s="5"/>
      <c r="J534" s="5"/>
    </row>
    <row r="535" spans="7:10" ht="15.75" customHeight="1" x14ac:dyDescent="0.25">
      <c r="G535" s="5"/>
      <c r="H535" s="5"/>
      <c r="I535" s="5"/>
      <c r="J535" s="5"/>
    </row>
    <row r="536" spans="7:10" ht="15.75" customHeight="1" x14ac:dyDescent="0.25">
      <c r="G536" s="5"/>
      <c r="H536" s="5"/>
      <c r="I536" s="5"/>
      <c r="J536" s="5"/>
    </row>
    <row r="537" spans="7:10" ht="15.75" customHeight="1" x14ac:dyDescent="0.25">
      <c r="G537" s="5"/>
      <c r="H537" s="5"/>
      <c r="I537" s="5"/>
      <c r="J537" s="5"/>
    </row>
    <row r="538" spans="7:10" ht="15.75" customHeight="1" x14ac:dyDescent="0.25">
      <c r="G538" s="5"/>
      <c r="H538" s="5"/>
      <c r="I538" s="5"/>
      <c r="J538" s="5"/>
    </row>
    <row r="539" spans="7:10" ht="15.75" customHeight="1" x14ac:dyDescent="0.25">
      <c r="G539" s="5"/>
      <c r="H539" s="5"/>
      <c r="I539" s="5"/>
      <c r="J539" s="5"/>
    </row>
    <row r="540" spans="7:10" ht="15.75" customHeight="1" x14ac:dyDescent="0.25">
      <c r="G540" s="5"/>
      <c r="H540" s="5"/>
      <c r="I540" s="5"/>
      <c r="J540" s="5"/>
    </row>
    <row r="541" spans="7:10" ht="15.75" customHeight="1" x14ac:dyDescent="0.25">
      <c r="G541" s="5"/>
      <c r="H541" s="5"/>
      <c r="I541" s="5"/>
      <c r="J541" s="5"/>
    </row>
    <row r="542" spans="7:10" ht="15.75" customHeight="1" x14ac:dyDescent="0.25">
      <c r="G542" s="5"/>
      <c r="H542" s="5"/>
      <c r="I542" s="5"/>
      <c r="J542" s="5"/>
    </row>
    <row r="543" spans="7:10" ht="15.75" customHeight="1" x14ac:dyDescent="0.25">
      <c r="G543" s="5"/>
      <c r="H543" s="5"/>
      <c r="I543" s="5"/>
      <c r="J543" s="5"/>
    </row>
    <row r="544" spans="7:10" ht="15.75" customHeight="1" x14ac:dyDescent="0.25">
      <c r="G544" s="5"/>
      <c r="H544" s="5"/>
      <c r="I544" s="5"/>
      <c r="J544" s="5"/>
    </row>
    <row r="545" spans="7:10" ht="15.75" customHeight="1" x14ac:dyDescent="0.25">
      <c r="G545" s="5"/>
      <c r="H545" s="5"/>
      <c r="I545" s="5"/>
      <c r="J545" s="5"/>
    </row>
    <row r="546" spans="7:10" ht="15.75" customHeight="1" x14ac:dyDescent="0.25">
      <c r="G546" s="5"/>
      <c r="H546" s="5"/>
      <c r="I546" s="5"/>
      <c r="J546" s="5"/>
    </row>
    <row r="547" spans="7:10" ht="15.75" customHeight="1" x14ac:dyDescent="0.25">
      <c r="G547" s="5"/>
      <c r="H547" s="5"/>
      <c r="I547" s="5"/>
      <c r="J547" s="5"/>
    </row>
    <row r="548" spans="7:10" ht="15.75" customHeight="1" x14ac:dyDescent="0.25">
      <c r="G548" s="5"/>
      <c r="H548" s="5"/>
      <c r="I548" s="5"/>
      <c r="J548" s="5"/>
    </row>
    <row r="549" spans="7:10" ht="15.75" customHeight="1" x14ac:dyDescent="0.25">
      <c r="G549" s="5"/>
      <c r="H549" s="5"/>
      <c r="I549" s="5"/>
      <c r="J549" s="5"/>
    </row>
    <row r="550" spans="7:10" ht="15.75" customHeight="1" x14ac:dyDescent="0.25">
      <c r="G550" s="5"/>
      <c r="H550" s="5"/>
      <c r="I550" s="5"/>
      <c r="J550" s="5"/>
    </row>
    <row r="551" spans="7:10" ht="15.75" customHeight="1" x14ac:dyDescent="0.25">
      <c r="G551" s="5"/>
      <c r="H551" s="5"/>
      <c r="I551" s="5"/>
      <c r="J551" s="5"/>
    </row>
    <row r="552" spans="7:10" ht="15.75" customHeight="1" x14ac:dyDescent="0.25">
      <c r="G552" s="5"/>
      <c r="H552" s="5"/>
      <c r="I552" s="5"/>
      <c r="J552" s="5"/>
    </row>
    <row r="553" spans="7:10" ht="15.75" customHeight="1" x14ac:dyDescent="0.25">
      <c r="G553" s="5"/>
      <c r="H553" s="5"/>
      <c r="I553" s="5"/>
      <c r="J553" s="5"/>
    </row>
    <row r="554" spans="7:10" ht="15.75" customHeight="1" x14ac:dyDescent="0.25">
      <c r="G554" s="5"/>
      <c r="H554" s="5"/>
      <c r="I554" s="5"/>
      <c r="J554" s="5"/>
    </row>
    <row r="555" spans="7:10" ht="15.75" customHeight="1" x14ac:dyDescent="0.25">
      <c r="G555" s="5"/>
      <c r="H555" s="5"/>
      <c r="I555" s="5"/>
      <c r="J555" s="5"/>
    </row>
    <row r="556" spans="7:10" ht="15.75" customHeight="1" x14ac:dyDescent="0.25">
      <c r="G556" s="5"/>
      <c r="H556" s="5"/>
      <c r="I556" s="5"/>
      <c r="J556" s="5"/>
    </row>
    <row r="557" spans="7:10" ht="15.75" customHeight="1" x14ac:dyDescent="0.25">
      <c r="G557" s="5"/>
      <c r="H557" s="5"/>
      <c r="I557" s="5"/>
      <c r="J557" s="5"/>
    </row>
    <row r="558" spans="7:10" ht="15.75" customHeight="1" x14ac:dyDescent="0.25">
      <c r="G558" s="5"/>
      <c r="H558" s="5"/>
      <c r="I558" s="5"/>
      <c r="J558" s="5"/>
    </row>
    <row r="559" spans="7:10" ht="15.75" customHeight="1" x14ac:dyDescent="0.25">
      <c r="G559" s="5"/>
      <c r="H559" s="5"/>
      <c r="I559" s="5"/>
      <c r="J559" s="5"/>
    </row>
    <row r="560" spans="7:10" ht="15.75" customHeight="1" x14ac:dyDescent="0.25">
      <c r="G560" s="5"/>
      <c r="H560" s="5"/>
      <c r="I560" s="5"/>
      <c r="J560" s="5"/>
    </row>
    <row r="561" spans="7:10" ht="15.75" customHeight="1" x14ac:dyDescent="0.25">
      <c r="G561" s="5"/>
      <c r="H561" s="5"/>
      <c r="I561" s="5"/>
      <c r="J561" s="5"/>
    </row>
    <row r="562" spans="7:10" ht="15.75" customHeight="1" x14ac:dyDescent="0.25">
      <c r="G562" s="5"/>
      <c r="H562" s="5"/>
      <c r="I562" s="5"/>
      <c r="J562" s="5"/>
    </row>
    <row r="563" spans="7:10" ht="15.75" customHeight="1" x14ac:dyDescent="0.25">
      <c r="G563" s="5"/>
      <c r="H563" s="5"/>
      <c r="I563" s="5"/>
      <c r="J563" s="5"/>
    </row>
    <row r="564" spans="7:10" ht="15.75" customHeight="1" x14ac:dyDescent="0.25">
      <c r="G564" s="5"/>
      <c r="H564" s="5"/>
      <c r="I564" s="5"/>
      <c r="J564" s="5"/>
    </row>
    <row r="565" spans="7:10" ht="15.75" customHeight="1" x14ac:dyDescent="0.25">
      <c r="G565" s="5"/>
      <c r="H565" s="5"/>
      <c r="I565" s="5"/>
      <c r="J565" s="5"/>
    </row>
    <row r="566" spans="7:10" ht="15.75" customHeight="1" x14ac:dyDescent="0.25">
      <c r="G566" s="5"/>
      <c r="H566" s="5"/>
      <c r="I566" s="5"/>
      <c r="J566" s="5"/>
    </row>
    <row r="567" spans="7:10" ht="15.75" customHeight="1" x14ac:dyDescent="0.25">
      <c r="G567" s="5"/>
      <c r="H567" s="5"/>
      <c r="I567" s="5"/>
      <c r="J567" s="5"/>
    </row>
    <row r="568" spans="7:10" ht="15.75" customHeight="1" x14ac:dyDescent="0.25">
      <c r="G568" s="5"/>
      <c r="H568" s="5"/>
      <c r="I568" s="5"/>
      <c r="J568" s="5"/>
    </row>
    <row r="569" spans="7:10" ht="15.75" customHeight="1" x14ac:dyDescent="0.25">
      <c r="G569" s="5"/>
      <c r="H569" s="5"/>
      <c r="I569" s="5"/>
      <c r="J569" s="5"/>
    </row>
    <row r="570" spans="7:10" ht="15.75" customHeight="1" x14ac:dyDescent="0.25">
      <c r="G570" s="5"/>
      <c r="H570" s="5"/>
      <c r="I570" s="5"/>
      <c r="J570" s="5"/>
    </row>
    <row r="571" spans="7:10" ht="15.75" customHeight="1" x14ac:dyDescent="0.25">
      <c r="G571" s="5"/>
      <c r="H571" s="5"/>
      <c r="I571" s="5"/>
      <c r="J571" s="5"/>
    </row>
    <row r="572" spans="7:10" ht="15.75" customHeight="1" x14ac:dyDescent="0.25">
      <c r="G572" s="5"/>
      <c r="H572" s="5"/>
      <c r="I572" s="5"/>
      <c r="J572" s="5"/>
    </row>
    <row r="573" spans="7:10" ht="15.75" customHeight="1" x14ac:dyDescent="0.25">
      <c r="G573" s="5"/>
      <c r="H573" s="5"/>
      <c r="I573" s="5"/>
      <c r="J573" s="5"/>
    </row>
    <row r="574" spans="7:10" ht="15.75" customHeight="1" x14ac:dyDescent="0.25">
      <c r="G574" s="5"/>
      <c r="H574" s="5"/>
      <c r="I574" s="5"/>
      <c r="J574" s="5"/>
    </row>
    <row r="575" spans="7:10" ht="15.75" customHeight="1" x14ac:dyDescent="0.25">
      <c r="G575" s="5"/>
      <c r="H575" s="5"/>
      <c r="I575" s="5"/>
      <c r="J575" s="5"/>
    </row>
    <row r="576" spans="7:10" ht="15.75" customHeight="1" x14ac:dyDescent="0.25">
      <c r="G576" s="5"/>
      <c r="H576" s="5"/>
      <c r="I576" s="5"/>
      <c r="J576" s="5"/>
    </row>
    <row r="577" spans="7:10" ht="15.75" customHeight="1" x14ac:dyDescent="0.25">
      <c r="G577" s="5"/>
      <c r="H577" s="5"/>
      <c r="I577" s="5"/>
      <c r="J577" s="5"/>
    </row>
    <row r="578" spans="7:10" ht="15.75" customHeight="1" x14ac:dyDescent="0.25">
      <c r="G578" s="5"/>
      <c r="H578" s="5"/>
      <c r="I578" s="5"/>
      <c r="J578" s="5"/>
    </row>
    <row r="579" spans="7:10" ht="15.75" customHeight="1" x14ac:dyDescent="0.25">
      <c r="G579" s="5"/>
      <c r="H579" s="5"/>
      <c r="I579" s="5"/>
      <c r="J579" s="5"/>
    </row>
    <row r="580" spans="7:10" ht="15.75" customHeight="1" x14ac:dyDescent="0.25">
      <c r="G580" s="5"/>
      <c r="H580" s="5"/>
      <c r="I580" s="5"/>
      <c r="J580" s="5"/>
    </row>
    <row r="581" spans="7:10" ht="15.75" customHeight="1" x14ac:dyDescent="0.25">
      <c r="G581" s="5"/>
      <c r="H581" s="5"/>
      <c r="I581" s="5"/>
      <c r="J581" s="5"/>
    </row>
    <row r="582" spans="7:10" ht="15.75" customHeight="1" x14ac:dyDescent="0.25">
      <c r="G582" s="5"/>
      <c r="H582" s="5"/>
      <c r="I582" s="5"/>
      <c r="J582" s="5"/>
    </row>
    <row r="583" spans="7:10" ht="15.75" customHeight="1" x14ac:dyDescent="0.25">
      <c r="G583" s="5"/>
      <c r="H583" s="5"/>
      <c r="I583" s="5"/>
      <c r="J583" s="5"/>
    </row>
    <row r="584" spans="7:10" ht="15.75" customHeight="1" x14ac:dyDescent="0.25">
      <c r="G584" s="5"/>
      <c r="H584" s="5"/>
      <c r="I584" s="5"/>
      <c r="J584" s="5"/>
    </row>
    <row r="585" spans="7:10" ht="15.75" customHeight="1" x14ac:dyDescent="0.25">
      <c r="G585" s="5"/>
      <c r="H585" s="5"/>
      <c r="I585" s="5"/>
      <c r="J585" s="5"/>
    </row>
    <row r="586" spans="7:10" ht="15.75" customHeight="1" x14ac:dyDescent="0.25">
      <c r="G586" s="5"/>
      <c r="H586" s="5"/>
      <c r="I586" s="5"/>
      <c r="J586" s="5"/>
    </row>
    <row r="587" spans="7:10" ht="15.75" customHeight="1" x14ac:dyDescent="0.25">
      <c r="G587" s="5"/>
      <c r="H587" s="5"/>
      <c r="I587" s="5"/>
      <c r="J587" s="5"/>
    </row>
    <row r="588" spans="7:10" ht="15.75" customHeight="1" x14ac:dyDescent="0.25">
      <c r="G588" s="5"/>
      <c r="H588" s="5"/>
      <c r="I588" s="5"/>
      <c r="J588" s="5"/>
    </row>
    <row r="589" spans="7:10" ht="15.75" customHeight="1" x14ac:dyDescent="0.25">
      <c r="G589" s="5"/>
      <c r="H589" s="5"/>
      <c r="I589" s="5"/>
      <c r="J589" s="5"/>
    </row>
    <row r="590" spans="7:10" ht="15.75" customHeight="1" x14ac:dyDescent="0.25">
      <c r="G590" s="5"/>
      <c r="H590" s="5"/>
      <c r="I590" s="5"/>
      <c r="J590" s="5"/>
    </row>
    <row r="591" spans="7:10" ht="15.75" customHeight="1" x14ac:dyDescent="0.25">
      <c r="G591" s="5"/>
      <c r="H591" s="5"/>
      <c r="I591" s="5"/>
      <c r="J591" s="5"/>
    </row>
    <row r="592" spans="7:10" ht="15.75" customHeight="1" x14ac:dyDescent="0.25">
      <c r="G592" s="5"/>
      <c r="H592" s="5"/>
      <c r="I592" s="5"/>
      <c r="J592" s="5"/>
    </row>
    <row r="593" spans="7:10" ht="15.75" customHeight="1" x14ac:dyDescent="0.25">
      <c r="G593" s="5"/>
      <c r="H593" s="5"/>
      <c r="I593" s="5"/>
      <c r="J593" s="5"/>
    </row>
    <row r="594" spans="7:10" ht="15.75" customHeight="1" x14ac:dyDescent="0.25">
      <c r="G594" s="5"/>
      <c r="H594" s="5"/>
      <c r="I594" s="5"/>
      <c r="J594" s="5"/>
    </row>
    <row r="595" spans="7:10" ht="15.75" customHeight="1" x14ac:dyDescent="0.25">
      <c r="G595" s="5"/>
      <c r="H595" s="5"/>
      <c r="I595" s="5"/>
      <c r="J595" s="5"/>
    </row>
    <row r="596" spans="7:10" ht="15.75" customHeight="1" x14ac:dyDescent="0.25">
      <c r="G596" s="5"/>
      <c r="H596" s="5"/>
      <c r="I596" s="5"/>
      <c r="J596" s="5"/>
    </row>
    <row r="597" spans="7:10" ht="15.75" customHeight="1" x14ac:dyDescent="0.25">
      <c r="G597" s="5"/>
      <c r="H597" s="5"/>
      <c r="I597" s="5"/>
      <c r="J597" s="5"/>
    </row>
    <row r="598" spans="7:10" ht="15.75" customHeight="1" x14ac:dyDescent="0.25">
      <c r="G598" s="5"/>
      <c r="H598" s="5"/>
      <c r="I598" s="5"/>
      <c r="J598" s="5"/>
    </row>
    <row r="599" spans="7:10" ht="15.75" customHeight="1" x14ac:dyDescent="0.25">
      <c r="G599" s="5"/>
      <c r="H599" s="5"/>
      <c r="I599" s="5"/>
      <c r="J599" s="5"/>
    </row>
    <row r="600" spans="7:10" ht="15.75" customHeight="1" x14ac:dyDescent="0.25">
      <c r="G600" s="5"/>
      <c r="H600" s="5"/>
      <c r="I600" s="5"/>
      <c r="J600" s="5"/>
    </row>
    <row r="601" spans="7:10" ht="15.75" customHeight="1" x14ac:dyDescent="0.25">
      <c r="G601" s="5"/>
      <c r="H601" s="5"/>
      <c r="I601" s="5"/>
      <c r="J601" s="5"/>
    </row>
    <row r="602" spans="7:10" ht="15.75" customHeight="1" x14ac:dyDescent="0.25">
      <c r="G602" s="5"/>
      <c r="H602" s="5"/>
      <c r="I602" s="5"/>
      <c r="J602" s="5"/>
    </row>
    <row r="603" spans="7:10" ht="15.75" customHeight="1" x14ac:dyDescent="0.25">
      <c r="G603" s="5"/>
      <c r="H603" s="5"/>
      <c r="I603" s="5"/>
      <c r="J603" s="5"/>
    </row>
    <row r="604" spans="7:10" ht="15.75" customHeight="1" x14ac:dyDescent="0.25">
      <c r="G604" s="5"/>
      <c r="H604" s="5"/>
      <c r="I604" s="5"/>
      <c r="J604" s="5"/>
    </row>
    <row r="605" spans="7:10" ht="15.75" customHeight="1" x14ac:dyDescent="0.25">
      <c r="G605" s="5"/>
      <c r="H605" s="5"/>
      <c r="I605" s="5"/>
      <c r="J605" s="5"/>
    </row>
    <row r="606" spans="7:10" ht="15.75" customHeight="1" x14ac:dyDescent="0.25">
      <c r="G606" s="5"/>
      <c r="H606" s="5"/>
      <c r="I606" s="5"/>
      <c r="J606" s="5"/>
    </row>
    <row r="607" spans="7:10" ht="15.75" customHeight="1" x14ac:dyDescent="0.25">
      <c r="G607" s="5"/>
      <c r="H607" s="5"/>
      <c r="I607" s="5"/>
      <c r="J607" s="5"/>
    </row>
    <row r="608" spans="7:10" ht="15.75" customHeight="1" x14ac:dyDescent="0.25">
      <c r="G608" s="5"/>
      <c r="H608" s="5"/>
      <c r="I608" s="5"/>
      <c r="J608" s="5"/>
    </row>
    <row r="609" spans="7:10" ht="15.75" customHeight="1" x14ac:dyDescent="0.25">
      <c r="G609" s="5"/>
      <c r="H609" s="5"/>
      <c r="I609" s="5"/>
      <c r="J609" s="5"/>
    </row>
    <row r="610" spans="7:10" ht="15.75" customHeight="1" x14ac:dyDescent="0.25">
      <c r="G610" s="5"/>
      <c r="H610" s="5"/>
      <c r="I610" s="5"/>
      <c r="J610" s="5"/>
    </row>
    <row r="611" spans="7:10" ht="15.75" customHeight="1" x14ac:dyDescent="0.25">
      <c r="G611" s="5"/>
      <c r="H611" s="5"/>
      <c r="I611" s="5"/>
      <c r="J611" s="5"/>
    </row>
    <row r="612" spans="7:10" ht="15.75" customHeight="1" x14ac:dyDescent="0.25">
      <c r="G612" s="5"/>
      <c r="H612" s="5"/>
      <c r="I612" s="5"/>
      <c r="J612" s="5"/>
    </row>
    <row r="613" spans="7:10" ht="15.75" customHeight="1" x14ac:dyDescent="0.25">
      <c r="G613" s="5"/>
      <c r="H613" s="5"/>
      <c r="I613" s="5"/>
      <c r="J613" s="5"/>
    </row>
    <row r="614" spans="7:10" ht="15.75" customHeight="1" x14ac:dyDescent="0.25">
      <c r="G614" s="5"/>
      <c r="H614" s="5"/>
      <c r="I614" s="5"/>
      <c r="J614" s="5"/>
    </row>
    <row r="615" spans="7:10" ht="15.75" customHeight="1" x14ac:dyDescent="0.25">
      <c r="G615" s="5"/>
      <c r="H615" s="5"/>
      <c r="I615" s="5"/>
      <c r="J615" s="5"/>
    </row>
    <row r="616" spans="7:10" ht="15.75" customHeight="1" x14ac:dyDescent="0.25">
      <c r="G616" s="5"/>
      <c r="H616" s="5"/>
      <c r="I616" s="5"/>
      <c r="J616" s="5"/>
    </row>
    <row r="617" spans="7:10" ht="15.75" customHeight="1" x14ac:dyDescent="0.25">
      <c r="G617" s="5"/>
      <c r="H617" s="5"/>
      <c r="I617" s="5"/>
      <c r="J617" s="5"/>
    </row>
    <row r="618" spans="7:10" ht="15.75" customHeight="1" x14ac:dyDescent="0.25">
      <c r="G618" s="5"/>
      <c r="H618" s="5"/>
      <c r="I618" s="5"/>
      <c r="J618" s="5"/>
    </row>
    <row r="619" spans="7:10" ht="15.75" customHeight="1" x14ac:dyDescent="0.25">
      <c r="G619" s="5"/>
      <c r="H619" s="5"/>
      <c r="I619" s="5"/>
      <c r="J619" s="5"/>
    </row>
    <row r="620" spans="7:10" ht="15.75" customHeight="1" x14ac:dyDescent="0.25">
      <c r="G620" s="5"/>
      <c r="H620" s="5"/>
      <c r="I620" s="5"/>
      <c r="J620" s="5"/>
    </row>
    <row r="621" spans="7:10" ht="15.75" customHeight="1" x14ac:dyDescent="0.25">
      <c r="G621" s="5"/>
      <c r="H621" s="5"/>
      <c r="I621" s="5"/>
      <c r="J621" s="5"/>
    </row>
    <row r="622" spans="7:10" ht="15.75" customHeight="1" x14ac:dyDescent="0.25">
      <c r="G622" s="5"/>
      <c r="H622" s="5"/>
      <c r="I622" s="5"/>
      <c r="J622" s="5"/>
    </row>
    <row r="623" spans="7:10" ht="15.75" customHeight="1" x14ac:dyDescent="0.25">
      <c r="G623" s="5"/>
      <c r="H623" s="5"/>
      <c r="I623" s="5"/>
      <c r="J623" s="5"/>
    </row>
    <row r="624" spans="7:10" ht="15.75" customHeight="1" x14ac:dyDescent="0.25">
      <c r="G624" s="5"/>
      <c r="H624" s="5"/>
      <c r="I624" s="5"/>
      <c r="J624" s="5"/>
    </row>
    <row r="625" spans="7:10" ht="15.75" customHeight="1" x14ac:dyDescent="0.25">
      <c r="G625" s="5"/>
      <c r="H625" s="5"/>
      <c r="I625" s="5"/>
      <c r="J625" s="5"/>
    </row>
    <row r="626" spans="7:10" ht="15.75" customHeight="1" x14ac:dyDescent="0.25">
      <c r="G626" s="5"/>
      <c r="H626" s="5"/>
      <c r="I626" s="5"/>
      <c r="J626" s="5"/>
    </row>
    <row r="627" spans="7:10" ht="15.75" customHeight="1" x14ac:dyDescent="0.25">
      <c r="G627" s="5"/>
      <c r="H627" s="5"/>
      <c r="I627" s="5"/>
      <c r="J627" s="5"/>
    </row>
    <row r="628" spans="7:10" ht="15.75" customHeight="1" x14ac:dyDescent="0.25">
      <c r="G628" s="5"/>
      <c r="H628" s="5"/>
      <c r="I628" s="5"/>
      <c r="J628" s="5"/>
    </row>
    <row r="629" spans="7:10" ht="15.75" customHeight="1" x14ac:dyDescent="0.25">
      <c r="G629" s="5"/>
      <c r="H629" s="5"/>
      <c r="I629" s="5"/>
      <c r="J629" s="5"/>
    </row>
    <row r="630" spans="7:10" ht="15.75" customHeight="1" x14ac:dyDescent="0.25">
      <c r="G630" s="5"/>
      <c r="H630" s="5"/>
      <c r="I630" s="5"/>
      <c r="J630" s="5"/>
    </row>
    <row r="631" spans="7:10" ht="15.75" customHeight="1" x14ac:dyDescent="0.25">
      <c r="G631" s="5"/>
      <c r="H631" s="5"/>
      <c r="I631" s="5"/>
      <c r="J631" s="5"/>
    </row>
    <row r="632" spans="7:10" ht="15.75" customHeight="1" x14ac:dyDescent="0.25">
      <c r="G632" s="5"/>
      <c r="H632" s="5"/>
      <c r="I632" s="5"/>
      <c r="J632" s="5"/>
    </row>
    <row r="633" spans="7:10" ht="15.75" customHeight="1" x14ac:dyDescent="0.25">
      <c r="G633" s="5"/>
      <c r="H633" s="5"/>
      <c r="I633" s="5"/>
      <c r="J633" s="5"/>
    </row>
    <row r="634" spans="7:10" ht="15.75" customHeight="1" x14ac:dyDescent="0.25">
      <c r="G634" s="5"/>
      <c r="H634" s="5"/>
      <c r="I634" s="5"/>
      <c r="J634" s="5"/>
    </row>
    <row r="635" spans="7:10" ht="15.75" customHeight="1" x14ac:dyDescent="0.25">
      <c r="G635" s="5"/>
      <c r="H635" s="5"/>
      <c r="I635" s="5"/>
      <c r="J635" s="5"/>
    </row>
    <row r="636" spans="7:10" ht="15.75" customHeight="1" x14ac:dyDescent="0.25">
      <c r="G636" s="5"/>
      <c r="H636" s="5"/>
      <c r="I636" s="5"/>
      <c r="J636" s="5"/>
    </row>
    <row r="637" spans="7:10" ht="15.75" customHeight="1" x14ac:dyDescent="0.25">
      <c r="G637" s="5"/>
      <c r="H637" s="5"/>
      <c r="I637" s="5"/>
      <c r="J637" s="5"/>
    </row>
    <row r="638" spans="7:10" ht="15.75" customHeight="1" x14ac:dyDescent="0.25">
      <c r="G638" s="5"/>
      <c r="H638" s="5"/>
      <c r="I638" s="5"/>
      <c r="J638" s="5"/>
    </row>
    <row r="639" spans="7:10" ht="15.75" customHeight="1" x14ac:dyDescent="0.25">
      <c r="G639" s="5"/>
      <c r="H639" s="5"/>
      <c r="I639" s="5"/>
      <c r="J639" s="5"/>
    </row>
    <row r="640" spans="7:10" ht="15.75" customHeight="1" x14ac:dyDescent="0.25">
      <c r="G640" s="5"/>
      <c r="H640" s="5"/>
      <c r="I640" s="5"/>
      <c r="J640" s="5"/>
    </row>
    <row r="641" spans="7:10" ht="15.75" customHeight="1" x14ac:dyDescent="0.25">
      <c r="G641" s="5"/>
      <c r="H641" s="5"/>
      <c r="I641" s="5"/>
      <c r="J641" s="5"/>
    </row>
    <row r="642" spans="7:10" ht="15.75" customHeight="1" x14ac:dyDescent="0.25">
      <c r="G642" s="5"/>
      <c r="H642" s="5"/>
      <c r="I642" s="5"/>
      <c r="J642" s="5"/>
    </row>
    <row r="643" spans="7:10" ht="15.75" customHeight="1" x14ac:dyDescent="0.25">
      <c r="G643" s="5"/>
      <c r="H643" s="5"/>
      <c r="I643" s="5"/>
      <c r="J643" s="5"/>
    </row>
    <row r="644" spans="7:10" ht="15.75" customHeight="1" x14ac:dyDescent="0.25">
      <c r="G644" s="5"/>
      <c r="H644" s="5"/>
      <c r="I644" s="5"/>
      <c r="J644" s="5"/>
    </row>
    <row r="645" spans="7:10" ht="15.75" customHeight="1" x14ac:dyDescent="0.25">
      <c r="G645" s="5"/>
      <c r="H645" s="5"/>
      <c r="I645" s="5"/>
      <c r="J645" s="5"/>
    </row>
    <row r="646" spans="7:10" ht="15.75" customHeight="1" x14ac:dyDescent="0.25">
      <c r="G646" s="5"/>
      <c r="H646" s="5"/>
      <c r="I646" s="5"/>
      <c r="J646" s="5"/>
    </row>
    <row r="647" spans="7:10" ht="15.75" customHeight="1" x14ac:dyDescent="0.25">
      <c r="G647" s="5"/>
      <c r="H647" s="5"/>
      <c r="I647" s="5"/>
      <c r="J647" s="5"/>
    </row>
    <row r="648" spans="7:10" ht="15.75" customHeight="1" x14ac:dyDescent="0.25">
      <c r="G648" s="5"/>
      <c r="H648" s="5"/>
      <c r="I648" s="5"/>
      <c r="J648" s="5"/>
    </row>
    <row r="649" spans="7:10" ht="15.75" customHeight="1" x14ac:dyDescent="0.25">
      <c r="G649" s="5"/>
      <c r="H649" s="5"/>
      <c r="I649" s="5"/>
      <c r="J649" s="5"/>
    </row>
    <row r="650" spans="7:10" ht="15.75" customHeight="1" x14ac:dyDescent="0.25">
      <c r="G650" s="5"/>
      <c r="H650" s="5"/>
      <c r="I650" s="5"/>
      <c r="J650" s="5"/>
    </row>
    <row r="651" spans="7:10" ht="15.75" customHeight="1" x14ac:dyDescent="0.25">
      <c r="G651" s="5"/>
      <c r="H651" s="5"/>
      <c r="I651" s="5"/>
      <c r="J651" s="5"/>
    </row>
    <row r="652" spans="7:10" ht="15.75" customHeight="1" x14ac:dyDescent="0.25">
      <c r="G652" s="5"/>
      <c r="H652" s="5"/>
      <c r="I652" s="5"/>
      <c r="J652" s="5"/>
    </row>
    <row r="653" spans="7:10" ht="15.75" customHeight="1" x14ac:dyDescent="0.25">
      <c r="G653" s="5"/>
      <c r="H653" s="5"/>
      <c r="I653" s="5"/>
      <c r="J653" s="5"/>
    </row>
    <row r="654" spans="7:10" ht="15.75" customHeight="1" x14ac:dyDescent="0.25">
      <c r="G654" s="5"/>
      <c r="H654" s="5"/>
      <c r="I654" s="5"/>
      <c r="J654" s="5"/>
    </row>
    <row r="655" spans="7:10" ht="15.75" customHeight="1" x14ac:dyDescent="0.25">
      <c r="G655" s="5"/>
      <c r="H655" s="5"/>
      <c r="I655" s="5"/>
      <c r="J655" s="5"/>
    </row>
    <row r="656" spans="7:10" ht="15.75" customHeight="1" x14ac:dyDescent="0.25">
      <c r="G656" s="5"/>
      <c r="H656" s="5"/>
      <c r="I656" s="5"/>
      <c r="J656" s="5"/>
    </row>
    <row r="657" spans="7:10" ht="15.75" customHeight="1" x14ac:dyDescent="0.25">
      <c r="G657" s="5"/>
      <c r="H657" s="5"/>
      <c r="I657" s="5"/>
      <c r="J657" s="5"/>
    </row>
    <row r="658" spans="7:10" ht="15.75" customHeight="1" x14ac:dyDescent="0.25">
      <c r="G658" s="5"/>
      <c r="H658" s="5"/>
      <c r="I658" s="5"/>
      <c r="J658" s="5"/>
    </row>
    <row r="659" spans="7:10" ht="15.75" customHeight="1" x14ac:dyDescent="0.25">
      <c r="G659" s="5"/>
      <c r="H659" s="5"/>
      <c r="I659" s="5"/>
      <c r="J659" s="5"/>
    </row>
    <row r="660" spans="7:10" ht="15.75" customHeight="1" x14ac:dyDescent="0.25">
      <c r="G660" s="5"/>
      <c r="H660" s="5"/>
      <c r="I660" s="5"/>
      <c r="J660" s="5"/>
    </row>
    <row r="661" spans="7:10" ht="15.75" customHeight="1" x14ac:dyDescent="0.25">
      <c r="G661" s="5"/>
      <c r="H661" s="5"/>
      <c r="I661" s="5"/>
      <c r="J661" s="5"/>
    </row>
    <row r="662" spans="7:10" ht="15.75" customHeight="1" x14ac:dyDescent="0.25">
      <c r="G662" s="5"/>
      <c r="H662" s="5"/>
      <c r="I662" s="5"/>
      <c r="J662" s="5"/>
    </row>
    <row r="663" spans="7:10" ht="15.75" customHeight="1" x14ac:dyDescent="0.25">
      <c r="G663" s="5"/>
      <c r="H663" s="5"/>
      <c r="I663" s="5"/>
      <c r="J663" s="5"/>
    </row>
    <row r="664" spans="7:10" ht="15.75" customHeight="1" x14ac:dyDescent="0.25">
      <c r="G664" s="5"/>
      <c r="H664" s="5"/>
      <c r="I664" s="5"/>
      <c r="J664" s="5"/>
    </row>
    <row r="665" spans="7:10" ht="15.75" customHeight="1" x14ac:dyDescent="0.25">
      <c r="G665" s="5"/>
      <c r="H665" s="5"/>
      <c r="I665" s="5"/>
      <c r="J665" s="5"/>
    </row>
    <row r="666" spans="7:10" ht="15.75" customHeight="1" x14ac:dyDescent="0.25">
      <c r="G666" s="5"/>
      <c r="H666" s="5"/>
      <c r="I666" s="5"/>
      <c r="J666" s="5"/>
    </row>
    <row r="667" spans="7:10" ht="15.75" customHeight="1" x14ac:dyDescent="0.25">
      <c r="G667" s="5"/>
      <c r="H667" s="5"/>
      <c r="I667" s="5"/>
      <c r="J667" s="5"/>
    </row>
    <row r="668" spans="7:10" ht="15.75" customHeight="1" x14ac:dyDescent="0.25">
      <c r="G668" s="5"/>
      <c r="H668" s="5"/>
      <c r="I668" s="5"/>
      <c r="J668" s="5"/>
    </row>
    <row r="669" spans="7:10" ht="15.75" customHeight="1" x14ac:dyDescent="0.25">
      <c r="G669" s="5"/>
      <c r="H669" s="5"/>
      <c r="I669" s="5"/>
      <c r="J669" s="5"/>
    </row>
    <row r="670" spans="7:10" ht="15.75" customHeight="1" x14ac:dyDescent="0.25">
      <c r="G670" s="5"/>
      <c r="H670" s="5"/>
      <c r="I670" s="5"/>
      <c r="J670" s="5"/>
    </row>
    <row r="671" spans="7:10" ht="15.75" customHeight="1" x14ac:dyDescent="0.25">
      <c r="G671" s="5"/>
      <c r="H671" s="5"/>
      <c r="I671" s="5"/>
      <c r="J671" s="5"/>
    </row>
    <row r="672" spans="7:10" ht="15.75" customHeight="1" x14ac:dyDescent="0.25">
      <c r="G672" s="5"/>
      <c r="H672" s="5"/>
      <c r="I672" s="5"/>
      <c r="J672" s="5"/>
    </row>
    <row r="673" spans="7:10" ht="15.75" customHeight="1" x14ac:dyDescent="0.25">
      <c r="G673" s="5"/>
      <c r="H673" s="5"/>
      <c r="I673" s="5"/>
      <c r="J673" s="5"/>
    </row>
    <row r="674" spans="7:10" ht="15.75" customHeight="1" x14ac:dyDescent="0.25">
      <c r="G674" s="5"/>
      <c r="H674" s="5"/>
      <c r="I674" s="5"/>
      <c r="J674" s="5"/>
    </row>
    <row r="675" spans="7:10" ht="15.75" customHeight="1" x14ac:dyDescent="0.25">
      <c r="G675" s="5"/>
      <c r="H675" s="5"/>
      <c r="I675" s="5"/>
      <c r="J675" s="5"/>
    </row>
    <row r="676" spans="7:10" ht="15.75" customHeight="1" x14ac:dyDescent="0.25">
      <c r="G676" s="5"/>
      <c r="H676" s="5"/>
      <c r="I676" s="5"/>
      <c r="J676" s="5"/>
    </row>
    <row r="677" spans="7:10" ht="15.75" customHeight="1" x14ac:dyDescent="0.25">
      <c r="G677" s="5"/>
      <c r="H677" s="5"/>
      <c r="I677" s="5"/>
      <c r="J677" s="5"/>
    </row>
    <row r="678" spans="7:10" ht="15.75" customHeight="1" x14ac:dyDescent="0.25">
      <c r="G678" s="5"/>
      <c r="H678" s="5"/>
      <c r="I678" s="5"/>
      <c r="J678" s="5"/>
    </row>
    <row r="679" spans="7:10" ht="15.75" customHeight="1" x14ac:dyDescent="0.25">
      <c r="G679" s="5"/>
      <c r="H679" s="5"/>
      <c r="I679" s="5"/>
      <c r="J679" s="5"/>
    </row>
    <row r="680" spans="7:10" ht="15.75" customHeight="1" x14ac:dyDescent="0.25">
      <c r="G680" s="5"/>
      <c r="H680" s="5"/>
      <c r="I680" s="5"/>
      <c r="J680" s="5"/>
    </row>
    <row r="681" spans="7:10" ht="15.75" customHeight="1" x14ac:dyDescent="0.25">
      <c r="G681" s="5"/>
      <c r="H681" s="5"/>
      <c r="I681" s="5"/>
      <c r="J681" s="5"/>
    </row>
    <row r="682" spans="7:10" ht="15.75" customHeight="1" x14ac:dyDescent="0.25">
      <c r="G682" s="5"/>
      <c r="H682" s="5"/>
      <c r="I682" s="5"/>
      <c r="J682" s="5"/>
    </row>
    <row r="683" spans="7:10" ht="15.75" customHeight="1" x14ac:dyDescent="0.25">
      <c r="G683" s="5"/>
      <c r="H683" s="5"/>
      <c r="I683" s="5"/>
      <c r="J683" s="5"/>
    </row>
    <row r="684" spans="7:10" ht="15.75" customHeight="1" x14ac:dyDescent="0.25">
      <c r="G684" s="5"/>
      <c r="H684" s="5"/>
      <c r="I684" s="5"/>
      <c r="J684" s="5"/>
    </row>
    <row r="685" spans="7:10" ht="15.75" customHeight="1" x14ac:dyDescent="0.25">
      <c r="G685" s="5"/>
      <c r="H685" s="5"/>
      <c r="I685" s="5"/>
      <c r="J685" s="5"/>
    </row>
    <row r="686" spans="7:10" ht="15.75" customHeight="1" x14ac:dyDescent="0.25">
      <c r="G686" s="5"/>
      <c r="H686" s="5"/>
      <c r="I686" s="5"/>
      <c r="J686" s="5"/>
    </row>
    <row r="687" spans="7:10" ht="15.75" customHeight="1" x14ac:dyDescent="0.25">
      <c r="G687" s="5"/>
      <c r="H687" s="5"/>
      <c r="I687" s="5"/>
      <c r="J687" s="5"/>
    </row>
    <row r="688" spans="7:10" ht="15.75" customHeight="1" x14ac:dyDescent="0.25">
      <c r="G688" s="5"/>
      <c r="H688" s="5"/>
      <c r="I688" s="5"/>
      <c r="J688" s="5"/>
    </row>
    <row r="689" spans="7:10" ht="15.75" customHeight="1" x14ac:dyDescent="0.25">
      <c r="G689" s="5"/>
      <c r="H689" s="5"/>
      <c r="I689" s="5"/>
      <c r="J689" s="5"/>
    </row>
    <row r="690" spans="7:10" ht="15.75" customHeight="1" x14ac:dyDescent="0.25">
      <c r="G690" s="5"/>
      <c r="H690" s="5"/>
      <c r="I690" s="5"/>
      <c r="J690" s="5"/>
    </row>
    <row r="691" spans="7:10" ht="15.75" customHeight="1" x14ac:dyDescent="0.25">
      <c r="G691" s="5"/>
      <c r="H691" s="5"/>
      <c r="I691" s="5"/>
      <c r="J691" s="5"/>
    </row>
    <row r="692" spans="7:10" ht="15.75" customHeight="1" x14ac:dyDescent="0.25">
      <c r="G692" s="5"/>
      <c r="H692" s="5"/>
      <c r="I692" s="5"/>
      <c r="J692" s="5"/>
    </row>
    <row r="693" spans="7:10" ht="15.75" customHeight="1" x14ac:dyDescent="0.25">
      <c r="G693" s="5"/>
      <c r="H693" s="5"/>
      <c r="I693" s="5"/>
      <c r="J693" s="5"/>
    </row>
    <row r="694" spans="7:10" ht="15.75" customHeight="1" x14ac:dyDescent="0.25">
      <c r="G694" s="5"/>
      <c r="H694" s="5"/>
      <c r="I694" s="5"/>
      <c r="J694" s="5"/>
    </row>
    <row r="695" spans="7:10" ht="15.75" customHeight="1" x14ac:dyDescent="0.25">
      <c r="G695" s="5"/>
      <c r="H695" s="5"/>
      <c r="I695" s="5"/>
      <c r="J695" s="5"/>
    </row>
    <row r="696" spans="7:10" ht="15.75" customHeight="1" x14ac:dyDescent="0.25">
      <c r="G696" s="5"/>
      <c r="H696" s="5"/>
      <c r="I696" s="5"/>
      <c r="J696" s="5"/>
    </row>
    <row r="697" spans="7:10" ht="15.75" customHeight="1" x14ac:dyDescent="0.25">
      <c r="G697" s="5"/>
      <c r="H697" s="5"/>
      <c r="I697" s="5"/>
      <c r="J697" s="5"/>
    </row>
    <row r="698" spans="7:10" ht="15.75" customHeight="1" x14ac:dyDescent="0.25">
      <c r="G698" s="5"/>
      <c r="H698" s="5"/>
      <c r="I698" s="5"/>
      <c r="J698" s="5"/>
    </row>
    <row r="699" spans="7:10" ht="15.75" customHeight="1" x14ac:dyDescent="0.25">
      <c r="G699" s="5"/>
      <c r="H699" s="5"/>
      <c r="I699" s="5"/>
      <c r="J699" s="5"/>
    </row>
    <row r="700" spans="7:10" ht="15.75" customHeight="1" x14ac:dyDescent="0.25">
      <c r="G700" s="5"/>
      <c r="H700" s="5"/>
      <c r="I700" s="5"/>
      <c r="J700" s="5"/>
    </row>
    <row r="701" spans="7:10" ht="15.75" customHeight="1" x14ac:dyDescent="0.25">
      <c r="G701" s="5"/>
      <c r="H701" s="5"/>
      <c r="I701" s="5"/>
      <c r="J701" s="5"/>
    </row>
    <row r="702" spans="7:10" ht="15.75" customHeight="1" x14ac:dyDescent="0.25">
      <c r="G702" s="5"/>
      <c r="H702" s="5"/>
      <c r="I702" s="5"/>
      <c r="J702" s="5"/>
    </row>
    <row r="703" spans="7:10" ht="15.75" customHeight="1" x14ac:dyDescent="0.25">
      <c r="G703" s="5"/>
      <c r="H703" s="5"/>
      <c r="I703" s="5"/>
      <c r="J703" s="5"/>
    </row>
    <row r="704" spans="7:10" ht="15.75" customHeight="1" x14ac:dyDescent="0.25">
      <c r="G704" s="5"/>
      <c r="H704" s="5"/>
      <c r="I704" s="5"/>
      <c r="J704" s="5"/>
    </row>
    <row r="705" spans="7:10" ht="15.75" customHeight="1" x14ac:dyDescent="0.25">
      <c r="G705" s="5"/>
      <c r="H705" s="5"/>
      <c r="I705" s="5"/>
      <c r="J705" s="5"/>
    </row>
    <row r="706" spans="7:10" ht="15.75" customHeight="1" x14ac:dyDescent="0.25">
      <c r="G706" s="5"/>
      <c r="H706" s="5"/>
      <c r="I706" s="5"/>
      <c r="J706" s="5"/>
    </row>
    <row r="707" spans="7:10" ht="15.75" customHeight="1" x14ac:dyDescent="0.25">
      <c r="G707" s="5"/>
      <c r="H707" s="5"/>
      <c r="I707" s="5"/>
      <c r="J707" s="5"/>
    </row>
    <row r="708" spans="7:10" ht="15.75" customHeight="1" x14ac:dyDescent="0.25">
      <c r="G708" s="5"/>
      <c r="H708" s="5"/>
      <c r="I708" s="5"/>
      <c r="J708" s="5"/>
    </row>
    <row r="709" spans="7:10" ht="15.75" customHeight="1" x14ac:dyDescent="0.25">
      <c r="G709" s="5"/>
      <c r="H709" s="5"/>
      <c r="I709" s="5"/>
      <c r="J709" s="5"/>
    </row>
    <row r="710" spans="7:10" ht="15.75" customHeight="1" x14ac:dyDescent="0.25">
      <c r="G710" s="5"/>
      <c r="H710" s="5"/>
      <c r="I710" s="5"/>
      <c r="J710" s="5"/>
    </row>
    <row r="711" spans="7:10" ht="15.75" customHeight="1" x14ac:dyDescent="0.25">
      <c r="G711" s="5"/>
      <c r="H711" s="5"/>
      <c r="I711" s="5"/>
      <c r="J711" s="5"/>
    </row>
    <row r="712" spans="7:10" ht="15.75" customHeight="1" x14ac:dyDescent="0.25">
      <c r="G712" s="5"/>
      <c r="H712" s="5"/>
      <c r="I712" s="5"/>
      <c r="J712" s="5"/>
    </row>
    <row r="713" spans="7:10" ht="15.75" customHeight="1" x14ac:dyDescent="0.25">
      <c r="G713" s="5"/>
      <c r="H713" s="5"/>
      <c r="I713" s="5"/>
      <c r="J713" s="5"/>
    </row>
    <row r="714" spans="7:10" ht="15.75" customHeight="1" x14ac:dyDescent="0.25">
      <c r="G714" s="5"/>
      <c r="H714" s="5"/>
      <c r="I714" s="5"/>
      <c r="J714" s="5"/>
    </row>
    <row r="715" spans="7:10" ht="15.75" customHeight="1" x14ac:dyDescent="0.25">
      <c r="G715" s="5"/>
      <c r="H715" s="5"/>
      <c r="I715" s="5"/>
      <c r="J715" s="5"/>
    </row>
    <row r="716" spans="7:10" ht="15.75" customHeight="1" x14ac:dyDescent="0.25">
      <c r="G716" s="5"/>
      <c r="H716" s="5"/>
      <c r="I716" s="5"/>
      <c r="J716" s="5"/>
    </row>
    <row r="717" spans="7:10" ht="15.75" customHeight="1" x14ac:dyDescent="0.25">
      <c r="G717" s="5"/>
      <c r="H717" s="5"/>
      <c r="I717" s="5"/>
      <c r="J717" s="5"/>
    </row>
    <row r="718" spans="7:10" ht="15.75" customHeight="1" x14ac:dyDescent="0.25">
      <c r="G718" s="5"/>
      <c r="H718" s="5"/>
      <c r="I718" s="5"/>
      <c r="J718" s="5"/>
    </row>
    <row r="719" spans="7:10" ht="15.75" customHeight="1" x14ac:dyDescent="0.25">
      <c r="G719" s="5"/>
      <c r="H719" s="5"/>
      <c r="I719" s="5"/>
      <c r="J719" s="5"/>
    </row>
  </sheetData>
  <mergeCells count="2">
    <mergeCell ref="A9:B9"/>
    <mergeCell ref="A10:B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DTMC - No Repair</vt:lpstr>
      <vt:lpstr>DTMC - with Repair</vt:lpstr>
      <vt:lpstr>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Ferrari Fernandes</dc:creator>
  <cp:lastModifiedBy>Fernando Fernandes</cp:lastModifiedBy>
  <dcterms:created xsi:type="dcterms:W3CDTF">2026-02-03T22:59:26Z</dcterms:created>
  <dcterms:modified xsi:type="dcterms:W3CDTF">2026-02-05T16:05:39Z</dcterms:modified>
</cp:coreProperties>
</file>