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\Desktop\Interlab\"/>
    </mc:Choice>
  </mc:AlternateContent>
  <xr:revisionPtr revIDLastSave="0" documentId="13_ncr:1_{357B66E5-7819-4BB2-8967-A3D4D555D501}" xr6:coauthVersionLast="47" xr6:coauthVersionMax="47" xr10:uidLastSave="{00000000-0000-0000-0000-000000000000}"/>
  <bookViews>
    <workbookView xWindow="20370" yWindow="-120" windowWidth="29040" windowHeight="15720" tabRatio="685" xr2:uid="{A3795DAB-E664-451D-9665-55DD538099DC}"/>
  </bookViews>
  <sheets>
    <sheet name="Cálculos Ref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7" i="2"/>
  <c r="J10" i="2"/>
  <c r="F20" i="2"/>
  <c r="G10" i="2"/>
  <c r="D10" i="2" s="1"/>
  <c r="E10" i="2" s="1"/>
  <c r="F10" i="2"/>
  <c r="G7" i="2"/>
  <c r="D7" i="2" s="1"/>
  <c r="E7" i="2" s="1"/>
  <c r="F7" i="2"/>
  <c r="G4" i="2"/>
  <c r="D4" i="2" s="1"/>
  <c r="F4" i="2"/>
  <c r="F23" i="2" l="1"/>
  <c r="F17" i="2"/>
  <c r="F14" i="2"/>
  <c r="K7" i="2" s="1"/>
  <c r="E4" i="2"/>
  <c r="I4" i="2" l="1"/>
  <c r="K4" i="2"/>
  <c r="L4" i="2"/>
  <c r="L10" i="2"/>
  <c r="I10" i="2"/>
  <c r="L7" i="2"/>
  <c r="H10" i="2"/>
  <c r="I7" i="2"/>
  <c r="H7" i="2"/>
  <c r="H4" i="2"/>
  <c r="K10" i="2"/>
</calcChain>
</file>

<file path=xl/sharedStrings.xml><?xml version="1.0" encoding="utf-8"?>
<sst xmlns="http://schemas.openxmlformats.org/spreadsheetml/2006/main" count="20" uniqueCount="19">
  <si>
    <t>A</t>
  </si>
  <si>
    <t>B</t>
  </si>
  <si>
    <t>D</t>
  </si>
  <si>
    <t>Desvio-padrão</t>
  </si>
  <si>
    <t>Laboratório</t>
  </si>
  <si>
    <t>Cálculos Dos Resultados</t>
  </si>
  <si>
    <t>Valor Atribuído</t>
  </si>
  <si>
    <t>Valor Obtido
(média)</t>
  </si>
  <si>
    <t>Incerteza Padrão (u)</t>
  </si>
  <si>
    <t>Leituras</t>
  </si>
  <si>
    <t>Estatísticas de Desempenho</t>
  </si>
  <si>
    <t>Incerteza Padrão Combinada (u)</t>
  </si>
  <si>
    <t>Incerteza Expandida U (k=2)</t>
  </si>
  <si>
    <t>Incerteza Expandida (U) - k=2</t>
  </si>
  <si>
    <r>
      <t>Erro Normalizado E</t>
    </r>
    <r>
      <rPr>
        <b/>
        <vertAlign val="subscript"/>
        <sz val="11"/>
        <color theme="1"/>
        <rFont val="Calibri"/>
        <family val="2"/>
        <scheme val="minor"/>
      </rPr>
      <t xml:space="preserve">n
</t>
    </r>
    <r>
      <rPr>
        <b/>
        <sz val="11"/>
        <color theme="1"/>
        <rFont val="Calibri"/>
        <family val="2"/>
        <scheme val="minor"/>
      </rPr>
      <t>(E</t>
    </r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&lt; 1)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</si>
  <si>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%</t>
    </r>
  </si>
  <si>
    <t>C</t>
  </si>
  <si>
    <t>Z Score
(Z &lt; 3)</t>
  </si>
  <si>
    <r>
      <rPr>
        <b/>
        <sz val="11"/>
        <color theme="1"/>
        <rFont val="Calibri"/>
        <family val="2"/>
        <scheme val="minor"/>
      </rPr>
      <t>Zeta</t>
    </r>
    <r>
      <rPr>
        <b/>
        <sz val="11"/>
        <color theme="1"/>
        <rFont val="Symbol"/>
        <family val="1"/>
        <charset val="2"/>
      </rPr>
      <t xml:space="preserve"> z</t>
    </r>
    <r>
      <rPr>
        <b/>
        <sz val="11"/>
        <color theme="1"/>
        <rFont val="Calibri"/>
        <family val="2"/>
      </rPr>
      <t xml:space="preserve"> 
( </t>
    </r>
    <r>
      <rPr>
        <b/>
        <sz val="11"/>
        <color theme="1"/>
        <rFont val="Symbol"/>
        <family val="1"/>
        <charset val="2"/>
      </rPr>
      <t>z &lt;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</si>
</sst>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3" fillId="2" borderId="11" xfId="0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165" fontId="9" fillId="0" borderId="10" xfId="0" applyNumberFormat="1" applyFont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/>
    </xf>
    <xf numFmtId="165" fontId="9" fillId="0" borderId="20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'Cálculos Ref'!$H$3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'Cálculos Ref'!$B$4:$B$12</c15:sqref>
                  </c15:fullRef>
                </c:ext>
              </c:extLst>
              <c:f>('Cálculos Ref'!$B$4,'Cálculos Ref'!$B$7,'Cálculos Ref'!$B$10)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'Cálculos Ref'!$H$4:$H$12</c15:sqref>
                  </c15:fullRef>
                </c:ext>
              </c:extLst>
              <c:f>('Cálculos Ref'!$H$4,'Cálculos Ref'!$H$7,'Cálculos Ref'!$H$10)</c:f>
              <c:numCache>
                <c:formatCode>0.000</c:formatCode>
                <c:ptCount val="3"/>
                <c:pt idx="0">
                  <c:v>-0.10777777777777686</c:v>
                </c:pt>
                <c:pt idx="1">
                  <c:v>4.8888888888889426E-2</c:v>
                </c:pt>
                <c:pt idx="2">
                  <c:v>5.8888888888887436E-2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1-4C91-8A08-0BAD12909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50"/>
        <c:axId val="332189087"/>
        <c:axId val="332189567"/>
      </c:barChart>
      <c:catAx>
        <c:axId val="3321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567"/>
        <c:crosses val="autoZero"/>
        <c:auto val="1"/>
        <c:lblAlgn val="ctr"/>
        <c:lblOffset val="100"/>
        <c:noMultiLvlLbl val="0"/>
      </c:catAx>
      <c:valAx>
        <c:axId val="3321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'Cálculos Ref'!$I$3</c:f>
              <c:strCache>
                <c:ptCount val="1"/>
                <c:pt idx="0">
                  <c:v>D%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'Cálculos Ref'!$B$4:$B$12</c15:sqref>
                  </c15:fullRef>
                </c:ext>
              </c:extLst>
              <c:f>('Cálculos Ref'!$B$4,'Cálculos Ref'!$B$7,'Cálculos Ref'!$B$10)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'Cálculos Ref'!$I$4:$I$12</c15:sqref>
                  </c15:fullRef>
                </c:ext>
              </c:extLst>
              <c:f>('Cálculos Ref'!$I$4,'Cálculos Ref'!$I$7,'Cálculos Ref'!$I$10)</c:f>
              <c:numCache>
                <c:formatCode>0.00%</c:formatCode>
                <c:ptCount val="3"/>
                <c:pt idx="0">
                  <c:v>-2.6038870396220119E-3</c:v>
                </c:pt>
                <c:pt idx="1">
                  <c:v>1.1811446365295954E-3</c:v>
                </c:pt>
                <c:pt idx="2">
                  <c:v>1.4227424030924165E-3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B-43D7-957D-ED7B9FBC9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50"/>
        <c:axId val="332189087"/>
        <c:axId val="332189567"/>
      </c:barChart>
      <c:catAx>
        <c:axId val="3321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567"/>
        <c:crosses val="autoZero"/>
        <c:auto val="1"/>
        <c:lblAlgn val="ctr"/>
        <c:lblOffset val="100"/>
        <c:noMultiLvlLbl val="0"/>
      </c:catAx>
      <c:valAx>
        <c:axId val="3321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Z Score (Z</a:t>
            </a:r>
            <a:r>
              <a:rPr lang="pt-BR" baseline="0"/>
              <a:t> &lt; 3)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'Cálculos Ref'!$J$3</c:f>
              <c:strCache>
                <c:ptCount val="1"/>
                <c:pt idx="0">
                  <c:v>Z Score
(Z &lt; 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'Cálculos Ref'!$B$4:$B$12</c15:sqref>
                  </c15:fullRef>
                </c:ext>
              </c:extLst>
              <c:f>('Cálculos Ref'!$B$4,'Cálculos Ref'!$B$7,'Cálculos Ref'!$B$10)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'Cálculos Ref'!$J$4:$J$12</c15:sqref>
                  </c15:fullRef>
                </c:ext>
              </c:extLst>
              <c:f>('Cálculos Ref'!$J$4,'Cálculos Ref'!$J$7,'Cálculos Ref'!$J$10)</c:f>
              <c:numCache>
                <c:formatCode>0.00</c:formatCode>
                <c:ptCount val="3"/>
                <c:pt idx="0">
                  <c:v>-1.1530473352865154</c:v>
                </c:pt>
                <c:pt idx="1">
                  <c:v>0.52303178095471825</c:v>
                </c:pt>
                <c:pt idx="2">
                  <c:v>0.63001555433179723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C-4DB8-906F-49BB91AAA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32189087"/>
        <c:axId val="332189567"/>
      </c:barChart>
      <c:lineChart>
        <c:grouping val="standard"/>
        <c:varyColors val="0"/>
        <c:ser>
          <c:idx val="1"/>
          <c:order val="1"/>
          <c:tx>
            <c:strRef>
              <c:f>'Cálculos Ref'!#REF!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A</c:v>
              </c:pt>
              <c:pt idx="3">
                <c:v>B</c:v>
              </c:pt>
              <c:pt idx="6">
                <c:v>C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'Cálculos Ref'!#REF!</c:f>
              <c:numCache>
                <c:formatCode>General</c:formatCode>
                <c:ptCount val="1"/>
                <c:pt idx="0">
                  <c:v>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182C-4DB8-906F-49BB91AAA4DD}"/>
            </c:ext>
          </c:extLst>
        </c:ser>
        <c:ser>
          <c:idx val="2"/>
          <c:order val="2"/>
          <c:tx>
            <c:strRef>
              <c:f>'Cálculos Ref'!#REF!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A</c:v>
              </c:pt>
              <c:pt idx="3">
                <c:v>B</c:v>
              </c:pt>
              <c:pt idx="6">
                <c:v>C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'Cálculos Ref'!#REF!</c:f>
              <c:numCache>
                <c:formatCode>General</c:formatCode>
                <c:ptCount val="1"/>
                <c:pt idx="0">
                  <c:v>1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182C-4DB8-906F-49BB91AAA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189087"/>
        <c:axId val="332189567"/>
      </c:lineChart>
      <c:catAx>
        <c:axId val="3321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567"/>
        <c:crosses val="autoZero"/>
        <c:auto val="1"/>
        <c:lblAlgn val="ctr"/>
        <c:lblOffset val="100"/>
        <c:noMultiLvlLbl val="0"/>
      </c:catAx>
      <c:valAx>
        <c:axId val="3321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Zeta </a:t>
            </a:r>
            <a:r>
              <a:rPr lang="en-US">
                <a:sym typeface="Symbol" panose="05050102010706020507" pitchFamily="18" charset="2"/>
              </a:rPr>
              <a:t></a:t>
            </a:r>
            <a:r>
              <a:rPr lang="en-US"/>
              <a:t> 
(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sym typeface="Symbol" panose="05050102010706020507" pitchFamily="18" charset="2"/>
              </a:rPr>
              <a:t>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/>
              <a:t> &lt;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'Cálculos Ref'!$K$3</c:f>
              <c:strCache>
                <c:ptCount val="1"/>
                <c:pt idx="0">
                  <c:v>Zeta z 
( z &lt; 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'Cálculos Ref'!$B$4:$B$12</c15:sqref>
                  </c15:fullRef>
                </c:ext>
              </c:extLst>
              <c:f>('Cálculos Ref'!$B$4,'Cálculos Ref'!$B$7,'Cálculos Ref'!$B$10)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'Cálculos Ref'!$K$4:$K$12</c15:sqref>
                  </c15:fullRef>
                </c:ext>
              </c:extLst>
              <c:f>('Cálculos Ref'!$K$4,'Cálculos Ref'!$K$7,'Cálculos Ref'!$K$10)</c:f>
              <c:numCache>
                <c:formatCode>0.0000</c:formatCode>
                <c:ptCount val="3"/>
                <c:pt idx="0">
                  <c:v>-0.12519015177972015</c:v>
                </c:pt>
                <c:pt idx="1">
                  <c:v>5.1475484538439274E-2</c:v>
                </c:pt>
                <c:pt idx="2">
                  <c:v>5.2696044570867857E-2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91-4866-8E75-6525FE5D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50"/>
        <c:axId val="332189087"/>
        <c:axId val="332189567"/>
      </c:barChart>
      <c:catAx>
        <c:axId val="3321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567"/>
        <c:crosses val="autoZero"/>
        <c:auto val="1"/>
        <c:lblAlgn val="ctr"/>
        <c:lblOffset val="100"/>
        <c:noMultiLvlLbl val="0"/>
      </c:catAx>
      <c:valAx>
        <c:axId val="3321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'Cálculos Ref'!$L$3</c:f>
              <c:strCache>
                <c:ptCount val="1"/>
                <c:pt idx="0">
                  <c:v>Erro Normalizado En
(En &lt; 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'Cálculos Ref'!$B$4:$B$12</c15:sqref>
                  </c15:fullRef>
                </c:ext>
              </c:extLst>
              <c:f>('Cálculos Ref'!$B$4,'Cálculos Ref'!$B$7,'Cálculos Ref'!$B$10)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'Cálculos Ref'!$L$4:$L$12</c15:sqref>
                  </c15:fullRef>
                </c:ext>
              </c:extLst>
              <c:f>('Cálculos Ref'!$L$4,'Cálculos Ref'!$L$7,'Cálculos Ref'!$L$10)</c:f>
              <c:numCache>
                <c:formatCode>0.0000</c:formatCode>
                <c:ptCount val="3"/>
                <c:pt idx="0">
                  <c:v>-6.2595075889860075E-2</c:v>
                </c:pt>
                <c:pt idx="1">
                  <c:v>2.5737742269219637E-2</c:v>
                </c:pt>
                <c:pt idx="2">
                  <c:v>2.6348022285433929E-2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E-4E2D-841B-33F6B44DB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50"/>
        <c:axId val="332189087"/>
        <c:axId val="332189567"/>
      </c:barChart>
      <c:catAx>
        <c:axId val="3321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567"/>
        <c:crosses val="autoZero"/>
        <c:auto val="1"/>
        <c:lblAlgn val="ctr"/>
        <c:lblOffset val="100"/>
        <c:noMultiLvlLbl val="0"/>
      </c:catAx>
      <c:valAx>
        <c:axId val="33218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218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4</xdr:col>
      <xdr:colOff>532572</xdr:colOff>
      <xdr:row>36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445BD2-E001-4ECB-888E-ADE779464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532572</xdr:colOff>
      <xdr:row>26</xdr:row>
      <xdr:rowOff>0</xdr:rowOff>
    </xdr:from>
    <xdr:to>
      <xdr:col>8</xdr:col>
      <xdr:colOff>265044</xdr:colOff>
      <xdr:row>36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9FF125-4C2A-4D8E-BD21-21102F9EE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273326</xdr:colOff>
      <xdr:row>26</xdr:row>
      <xdr:rowOff>0</xdr:rowOff>
    </xdr:from>
    <xdr:to>
      <xdr:col>11</xdr:col>
      <xdr:colOff>1091648</xdr:colOff>
      <xdr:row>36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AB2879-545C-40CE-ACBF-C4DA7688E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600903</xdr:colOff>
      <xdr:row>36</xdr:row>
      <xdr:rowOff>0</xdr:rowOff>
    </xdr:from>
    <xdr:to>
      <xdr:col>6</xdr:col>
      <xdr:colOff>495300</xdr:colOff>
      <xdr:row>46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790EDF-F250-4C64-A261-35C190871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495300</xdr:colOff>
      <xdr:row>36</xdr:row>
      <xdr:rowOff>0</xdr:rowOff>
    </xdr:from>
    <xdr:to>
      <xdr:col>10</xdr:col>
      <xdr:colOff>208722</xdr:colOff>
      <xdr:row>46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D497E71-F5A7-4880-B03F-64AE1AE9E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2643-2014-42CB-968B-02BD42D072C3}">
  <dimension ref="B1:N98"/>
  <sheetViews>
    <sheetView showGridLines="0" tabSelected="1" zoomScale="85" zoomScaleNormal="85" workbookViewId="0">
      <selection activeCell="B1" sqref="B1:L1"/>
    </sheetView>
  </sheetViews>
  <sheetFormatPr defaultColWidth="9.140625" defaultRowHeight="11.25" x14ac:dyDescent="0.25"/>
  <cols>
    <col min="1" max="1" width="9.140625" style="3"/>
    <col min="2" max="2" width="14.140625" style="1" customWidth="1"/>
    <col min="3" max="3" width="13.5703125" style="1" customWidth="1"/>
    <col min="4" max="5" width="17.140625" style="1" customWidth="1"/>
    <col min="6" max="6" width="15.7109375" style="3" customWidth="1"/>
    <col min="7" max="12" width="16.5703125" style="3" customWidth="1"/>
    <col min="13" max="16384" width="9.140625" style="3"/>
  </cols>
  <sheetData>
    <row r="1" spans="2:14" ht="27" thickBot="1" x14ac:dyDescent="0.3">
      <c r="B1" s="47" t="s">
        <v>5</v>
      </c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2:14" s="4" customFormat="1" ht="22.5" customHeight="1" x14ac:dyDescent="0.25">
      <c r="B2" s="10"/>
      <c r="C2" s="50" t="s">
        <v>9</v>
      </c>
      <c r="D2" s="52" t="s">
        <v>11</v>
      </c>
      <c r="E2" s="54" t="s">
        <v>12</v>
      </c>
      <c r="F2" s="56" t="s">
        <v>10</v>
      </c>
      <c r="G2" s="57"/>
      <c r="H2" s="57"/>
      <c r="I2" s="57"/>
      <c r="J2" s="57"/>
      <c r="K2" s="57"/>
      <c r="L2" s="58"/>
    </row>
    <row r="3" spans="2:14" s="4" customFormat="1" ht="53.25" customHeight="1" x14ac:dyDescent="0.35">
      <c r="B3" s="11" t="s">
        <v>4</v>
      </c>
      <c r="C3" s="51"/>
      <c r="D3" s="53"/>
      <c r="E3" s="55"/>
      <c r="F3" s="14" t="s">
        <v>7</v>
      </c>
      <c r="G3" s="12" t="s">
        <v>3</v>
      </c>
      <c r="H3" s="12" t="s">
        <v>2</v>
      </c>
      <c r="I3" s="12" t="s">
        <v>15</v>
      </c>
      <c r="J3" s="12" t="s">
        <v>17</v>
      </c>
      <c r="K3" s="15" t="s">
        <v>18</v>
      </c>
      <c r="L3" s="13" t="s">
        <v>14</v>
      </c>
      <c r="M3" s="5"/>
      <c r="N3" s="5"/>
    </row>
    <row r="4" spans="2:14" s="7" customFormat="1" ht="15" x14ac:dyDescent="0.25">
      <c r="B4" s="38" t="s">
        <v>0</v>
      </c>
      <c r="C4" s="16">
        <v>41.03</v>
      </c>
      <c r="D4" s="46">
        <f>SQRT((G4/SQRT(COUNT(C4:C6)))+2*(0.01/SQRT(3)))+(0.05/SQRT(3))</f>
        <v>0.40343623188461297</v>
      </c>
      <c r="E4" s="59">
        <f>D4*2</f>
        <v>0.80687246376922594</v>
      </c>
      <c r="F4" s="60">
        <f>AVERAGE(C4:C6)</f>
        <v>41.283333333333331</v>
      </c>
      <c r="G4" s="61">
        <f>_xlfn.STDEV.S(C4:C6)</f>
        <v>0.22300971578236967</v>
      </c>
      <c r="H4" s="44">
        <f>F4-F14</f>
        <v>-0.10777777777777686</v>
      </c>
      <c r="I4" s="45">
        <f>(F4-F14)/F14</f>
        <v>-2.6038870396220119E-3</v>
      </c>
      <c r="J4" s="46">
        <f>(F4-F14)/F17</f>
        <v>-1.1530473352865154</v>
      </c>
      <c r="K4" s="35">
        <f>(F4-$F$14)/SQRT((D4^2)+($F$20^2))</f>
        <v>-0.12519015177972015</v>
      </c>
      <c r="L4" s="37">
        <f>(F4-$F$14)/SQRT(SUMSQ(E4,F23))</f>
        <v>-6.2595075889860075E-2</v>
      </c>
      <c r="M4" s="6"/>
      <c r="N4" s="6"/>
    </row>
    <row r="5" spans="2:14" s="7" customFormat="1" ht="15" x14ac:dyDescent="0.25">
      <c r="B5" s="38"/>
      <c r="C5" s="16">
        <v>41.45</v>
      </c>
      <c r="D5" s="46"/>
      <c r="E5" s="59"/>
      <c r="F5" s="60"/>
      <c r="G5" s="61"/>
      <c r="H5" s="44"/>
      <c r="I5" s="45"/>
      <c r="J5" s="46"/>
      <c r="K5" s="35"/>
      <c r="L5" s="37"/>
      <c r="M5" s="6"/>
      <c r="N5" s="6"/>
    </row>
    <row r="6" spans="2:14" s="7" customFormat="1" ht="15" x14ac:dyDescent="0.25">
      <c r="B6" s="38"/>
      <c r="C6" s="16">
        <v>41.37</v>
      </c>
      <c r="D6" s="46"/>
      <c r="E6" s="59"/>
      <c r="F6" s="60"/>
      <c r="G6" s="61"/>
      <c r="H6" s="44"/>
      <c r="I6" s="45"/>
      <c r="J6" s="46"/>
      <c r="K6" s="35"/>
      <c r="L6" s="37"/>
      <c r="M6" s="6"/>
      <c r="N6" s="6"/>
    </row>
    <row r="7" spans="2:14" s="7" customFormat="1" ht="15" x14ac:dyDescent="0.25">
      <c r="B7" s="38" t="s">
        <v>1</v>
      </c>
      <c r="C7" s="2">
        <v>41.17</v>
      </c>
      <c r="D7" s="33">
        <f t="shared" ref="D7" si="0">SQRT((G7/SQRT(COUNT(C7:C9)))+2*(0.01/SQRT(3)))+(0.05/SQRT(3))</f>
        <v>0.56887355311804411</v>
      </c>
      <c r="E7" s="40">
        <f t="shared" ref="E7" si="1">D7*2</f>
        <v>1.1377471062360882</v>
      </c>
      <c r="F7" s="42">
        <f t="shared" ref="F7" si="2">AVERAGE(C7:C9)</f>
        <v>41.44</v>
      </c>
      <c r="G7" s="35">
        <f t="shared" ref="G7" si="3">_xlfn.STDEV.S(C7:C9)</f>
        <v>0.48507731342539612</v>
      </c>
      <c r="H7" s="29">
        <f>F7-F14</f>
        <v>4.8888888888889426E-2</v>
      </c>
      <c r="I7" s="31">
        <f>(F7-$F$14)/$F$14</f>
        <v>1.1811446365295954E-3</v>
      </c>
      <c r="J7" s="33">
        <f>(F7-$F$14)/$F$17</f>
        <v>0.52303178095471825</v>
      </c>
      <c r="K7" s="35">
        <f>(F7-$F$14)/SQRT((D7^2)+($F$20^2))</f>
        <v>5.1475484538439274E-2</v>
      </c>
      <c r="L7" s="37">
        <f>(F7-$F$14)/SQRT(SUMSQ(E7,F23))</f>
        <v>2.5737742269219637E-2</v>
      </c>
      <c r="M7" s="6"/>
      <c r="N7" s="6"/>
    </row>
    <row r="8" spans="2:14" s="7" customFormat="1" ht="15" x14ac:dyDescent="0.25">
      <c r="B8" s="38"/>
      <c r="C8" s="2">
        <v>42</v>
      </c>
      <c r="D8" s="33"/>
      <c r="E8" s="40"/>
      <c r="F8" s="42"/>
      <c r="G8" s="35"/>
      <c r="H8" s="29"/>
      <c r="I8" s="31"/>
      <c r="J8" s="33"/>
      <c r="K8" s="35"/>
      <c r="L8" s="37"/>
      <c r="M8" s="6"/>
      <c r="N8" s="6"/>
    </row>
    <row r="9" spans="2:14" s="7" customFormat="1" ht="15" x14ac:dyDescent="0.25">
      <c r="B9" s="38"/>
      <c r="C9" s="2">
        <v>41.15</v>
      </c>
      <c r="D9" s="33"/>
      <c r="E9" s="40"/>
      <c r="F9" s="42"/>
      <c r="G9" s="35"/>
      <c r="H9" s="29"/>
      <c r="I9" s="31"/>
      <c r="J9" s="33"/>
      <c r="K9" s="35"/>
      <c r="L9" s="37"/>
    </row>
    <row r="10" spans="2:14" s="7" customFormat="1" ht="15" x14ac:dyDescent="0.25">
      <c r="B10" s="38" t="s">
        <v>16</v>
      </c>
      <c r="C10" s="2">
        <v>41.01</v>
      </c>
      <c r="D10" s="33">
        <f t="shared" ref="D10" si="4">SQRT((G10/SQRT(COUNT(C10:C12)))+2*(0.01/SQRT(3)))+(0.05/SQRT(3))</f>
        <v>0.81880490673510919</v>
      </c>
      <c r="E10" s="40">
        <f t="shared" ref="E10" si="5">D10*2</f>
        <v>1.6376098134702184</v>
      </c>
      <c r="F10" s="42">
        <f t="shared" ref="F10" si="6">AVERAGE(C10:C12)</f>
        <v>41.449999999999996</v>
      </c>
      <c r="G10" s="35">
        <f t="shared" ref="G10" si="7">_xlfn.STDEV.S(C10:C12)</f>
        <v>1.0608015837092235</v>
      </c>
      <c r="H10" s="29">
        <f>F10-F14</f>
        <v>5.8888888888887436E-2</v>
      </c>
      <c r="I10" s="31">
        <f>(F10-$F$14)/$F$14</f>
        <v>1.4227424030924165E-3</v>
      </c>
      <c r="J10" s="33">
        <f>(F10-$F$14)/$F$17</f>
        <v>0.63001555433179723</v>
      </c>
      <c r="K10" s="35">
        <f>(F10-$F$14)/SQRT((D10^2)+($F$20^2))</f>
        <v>5.2696044570867857E-2</v>
      </c>
      <c r="L10" s="37">
        <f>(F10-$F$14)/SQRT(SUMSQ(E10,F23))</f>
        <v>2.6348022285433929E-2</v>
      </c>
    </row>
    <row r="11" spans="2:14" s="7" customFormat="1" ht="15" x14ac:dyDescent="0.25">
      <c r="B11" s="38"/>
      <c r="C11" s="2">
        <v>40.68</v>
      </c>
      <c r="D11" s="33"/>
      <c r="E11" s="40"/>
      <c r="F11" s="42"/>
      <c r="G11" s="35"/>
      <c r="H11" s="29"/>
      <c r="I11" s="31"/>
      <c r="J11" s="33"/>
      <c r="K11" s="35"/>
      <c r="L11" s="37"/>
    </row>
    <row r="12" spans="2:14" s="7" customFormat="1" ht="15.75" thickBot="1" x14ac:dyDescent="0.3">
      <c r="B12" s="39"/>
      <c r="C12" s="9">
        <v>42.66</v>
      </c>
      <c r="D12" s="34"/>
      <c r="E12" s="41"/>
      <c r="F12" s="43"/>
      <c r="G12" s="36"/>
      <c r="H12" s="30"/>
      <c r="I12" s="32"/>
      <c r="J12" s="34"/>
      <c r="K12" s="36"/>
      <c r="L12" s="37"/>
    </row>
    <row r="13" spans="2:14" s="7" customFormat="1" ht="15" x14ac:dyDescent="0.25">
      <c r="B13" s="8"/>
      <c r="C13" s="8"/>
      <c r="D13" s="8"/>
      <c r="E13" s="8"/>
    </row>
    <row r="14" spans="2:14" s="7" customFormat="1" ht="9" customHeight="1" x14ac:dyDescent="0.25">
      <c r="B14" s="8"/>
      <c r="C14" s="8"/>
      <c r="D14" s="20" t="s">
        <v>6</v>
      </c>
      <c r="E14" s="21"/>
      <c r="F14" s="17">
        <f>AVERAGE(F4:F12)</f>
        <v>41.391111111111108</v>
      </c>
    </row>
    <row r="15" spans="2:14" s="7" customFormat="1" ht="9" customHeight="1" x14ac:dyDescent="0.25">
      <c r="B15" s="8"/>
      <c r="C15" s="8"/>
      <c r="D15" s="22"/>
      <c r="E15" s="23"/>
      <c r="F15" s="18"/>
    </row>
    <row r="16" spans="2:14" s="7" customFormat="1" ht="9" customHeight="1" x14ac:dyDescent="0.25">
      <c r="B16" s="8"/>
      <c r="C16" s="8"/>
      <c r="D16" s="24"/>
      <c r="E16" s="25"/>
      <c r="F16" s="19"/>
    </row>
    <row r="17" spans="2:6" s="7" customFormat="1" ht="9" customHeight="1" x14ac:dyDescent="0.25">
      <c r="B17" s="8"/>
      <c r="C17" s="8"/>
      <c r="D17" s="20" t="s">
        <v>3</v>
      </c>
      <c r="E17" s="21"/>
      <c r="F17" s="26">
        <f>_xlfn.STDEV.S(F4:F12)</f>
        <v>9.3472119035768519E-2</v>
      </c>
    </row>
    <row r="18" spans="2:6" s="7" customFormat="1" ht="9" customHeight="1" x14ac:dyDescent="0.25">
      <c r="B18" s="8"/>
      <c r="C18" s="8"/>
      <c r="D18" s="22"/>
      <c r="E18" s="23"/>
      <c r="F18" s="27"/>
    </row>
    <row r="19" spans="2:6" s="7" customFormat="1" ht="9" customHeight="1" x14ac:dyDescent="0.25">
      <c r="B19" s="8"/>
      <c r="C19" s="8"/>
      <c r="D19" s="24"/>
      <c r="E19" s="25"/>
      <c r="F19" s="28"/>
    </row>
    <row r="20" spans="2:6" s="7" customFormat="1" ht="9" customHeight="1" x14ac:dyDescent="0.25">
      <c r="B20" s="8"/>
      <c r="C20" s="8"/>
      <c r="D20" s="20" t="s">
        <v>8</v>
      </c>
      <c r="E20" s="21"/>
      <c r="F20" s="26">
        <f>SQRT(SUMSQ(D4:D12)/(COUNTA(B4:B12)-1))</f>
        <v>0.76053250684237494</v>
      </c>
    </row>
    <row r="21" spans="2:6" s="7" customFormat="1" ht="9" customHeight="1" x14ac:dyDescent="0.25">
      <c r="B21" s="8"/>
      <c r="C21" s="8"/>
      <c r="D21" s="22"/>
      <c r="E21" s="23"/>
      <c r="F21" s="27"/>
    </row>
    <row r="22" spans="2:6" s="7" customFormat="1" ht="9" customHeight="1" x14ac:dyDescent="0.25">
      <c r="B22" s="8"/>
      <c r="C22" s="8"/>
      <c r="D22" s="24"/>
      <c r="E22" s="25"/>
      <c r="F22" s="28"/>
    </row>
    <row r="23" spans="2:6" s="7" customFormat="1" ht="9" customHeight="1" x14ac:dyDescent="0.25">
      <c r="B23" s="8"/>
      <c r="C23" s="8"/>
      <c r="D23" s="20" t="s">
        <v>13</v>
      </c>
      <c r="E23" s="21"/>
      <c r="F23" s="26">
        <f>2*F20</f>
        <v>1.5210650136847499</v>
      </c>
    </row>
    <row r="24" spans="2:6" s="7" customFormat="1" ht="9" customHeight="1" x14ac:dyDescent="0.25">
      <c r="B24" s="8"/>
      <c r="C24" s="8"/>
      <c r="D24" s="22"/>
      <c r="E24" s="23"/>
      <c r="F24" s="27"/>
    </row>
    <row r="25" spans="2:6" s="7" customFormat="1" ht="9" customHeight="1" x14ac:dyDescent="0.25">
      <c r="B25" s="8"/>
      <c r="C25" s="8"/>
      <c r="D25" s="24"/>
      <c r="E25" s="25"/>
      <c r="F25" s="28"/>
    </row>
    <row r="26" spans="2:6" s="7" customFormat="1" ht="9" customHeight="1" x14ac:dyDescent="0.25">
      <c r="B26" s="8"/>
      <c r="C26" s="8"/>
      <c r="D26" s="8"/>
      <c r="E26" s="8"/>
    </row>
    <row r="27" spans="2:6" s="7" customFormat="1" ht="22.5" customHeight="1" x14ac:dyDescent="0.25">
      <c r="B27" s="8"/>
      <c r="C27" s="8"/>
      <c r="D27" s="8"/>
      <c r="E27" s="8"/>
    </row>
    <row r="28" spans="2:6" s="7" customFormat="1" ht="22.5" customHeight="1" x14ac:dyDescent="0.25">
      <c r="B28" s="8"/>
      <c r="C28" s="8"/>
      <c r="D28" s="8"/>
      <c r="E28" s="8"/>
    </row>
    <row r="29" spans="2:6" s="7" customFormat="1" ht="22.5" customHeight="1" x14ac:dyDescent="0.25">
      <c r="B29" s="8"/>
      <c r="C29" s="8"/>
      <c r="D29" s="8"/>
      <c r="E29" s="8"/>
    </row>
    <row r="30" spans="2:6" s="7" customFormat="1" ht="22.5" customHeight="1" x14ac:dyDescent="0.25">
      <c r="B30" s="8"/>
      <c r="C30" s="8"/>
      <c r="D30" s="8"/>
      <c r="E30" s="8"/>
    </row>
    <row r="31" spans="2:6" s="7" customFormat="1" ht="22.5" customHeight="1" x14ac:dyDescent="0.25">
      <c r="B31" s="8"/>
      <c r="C31" s="8"/>
      <c r="D31" s="8"/>
      <c r="E31" s="8"/>
    </row>
    <row r="32" spans="2:6" s="7" customFormat="1" ht="22.5" customHeight="1" x14ac:dyDescent="0.25">
      <c r="B32" s="8"/>
      <c r="C32" s="8"/>
      <c r="D32" s="8"/>
      <c r="E32" s="8"/>
    </row>
    <row r="33" spans="2:5" s="7" customFormat="1" ht="22.5" customHeight="1" x14ac:dyDescent="0.25">
      <c r="B33" s="8"/>
      <c r="C33" s="8"/>
      <c r="D33" s="8"/>
      <c r="E33" s="8"/>
    </row>
    <row r="34" spans="2:5" s="7" customFormat="1" ht="22.5" customHeight="1" x14ac:dyDescent="0.25">
      <c r="B34" s="8"/>
      <c r="C34" s="8"/>
      <c r="D34" s="8"/>
      <c r="E34" s="8"/>
    </row>
    <row r="35" spans="2:5" s="7" customFormat="1" ht="22.5" customHeight="1" x14ac:dyDescent="0.25">
      <c r="B35" s="8"/>
      <c r="C35" s="8"/>
      <c r="D35" s="8"/>
      <c r="E35" s="8"/>
    </row>
    <row r="36" spans="2:5" s="7" customFormat="1" ht="22.5" customHeight="1" x14ac:dyDescent="0.25">
      <c r="B36" s="8"/>
      <c r="C36" s="8"/>
      <c r="D36" s="8"/>
      <c r="E36" s="8"/>
    </row>
    <row r="37" spans="2:5" s="7" customFormat="1" ht="22.5" customHeight="1" x14ac:dyDescent="0.25">
      <c r="B37" s="8"/>
      <c r="C37" s="8"/>
      <c r="D37" s="8"/>
      <c r="E37" s="8"/>
    </row>
    <row r="38" spans="2:5" s="7" customFormat="1" ht="22.5" customHeight="1" x14ac:dyDescent="0.25">
      <c r="B38" s="8"/>
      <c r="C38" s="8"/>
      <c r="D38" s="8"/>
      <c r="E38" s="8"/>
    </row>
    <row r="39" spans="2:5" s="7" customFormat="1" ht="22.5" customHeight="1" x14ac:dyDescent="0.25">
      <c r="B39" s="8"/>
      <c r="C39" s="8"/>
      <c r="D39" s="8"/>
      <c r="E39" s="8"/>
    </row>
    <row r="40" spans="2:5" s="7" customFormat="1" ht="22.5" customHeight="1" x14ac:dyDescent="0.25">
      <c r="B40" s="8"/>
      <c r="C40" s="8"/>
      <c r="D40" s="8"/>
      <c r="E40" s="8"/>
    </row>
    <row r="41" spans="2:5" s="7" customFormat="1" ht="22.5" customHeight="1" x14ac:dyDescent="0.25">
      <c r="B41" s="8"/>
      <c r="C41" s="8"/>
      <c r="D41" s="8"/>
      <c r="E41" s="8"/>
    </row>
    <row r="42" spans="2:5" s="7" customFormat="1" ht="22.5" customHeight="1" x14ac:dyDescent="0.25">
      <c r="B42" s="8"/>
      <c r="C42" s="8"/>
      <c r="D42" s="8"/>
      <c r="E42" s="8"/>
    </row>
    <row r="43" spans="2:5" s="7" customFormat="1" ht="22.5" customHeight="1" x14ac:dyDescent="0.25">
      <c r="B43" s="8"/>
      <c r="C43" s="8"/>
      <c r="D43" s="8"/>
      <c r="E43" s="8"/>
    </row>
    <row r="44" spans="2:5" s="7" customFormat="1" ht="22.5" customHeight="1" x14ac:dyDescent="0.25">
      <c r="B44" s="8"/>
      <c r="C44" s="8"/>
      <c r="D44" s="8"/>
      <c r="E44" s="8"/>
    </row>
    <row r="45" spans="2:5" s="7" customFormat="1" ht="22.5" customHeight="1" x14ac:dyDescent="0.25">
      <c r="B45" s="8"/>
      <c r="C45" s="8"/>
      <c r="D45" s="8"/>
      <c r="E45" s="8"/>
    </row>
    <row r="46" spans="2:5" s="7" customFormat="1" ht="22.5" customHeight="1" x14ac:dyDescent="0.25">
      <c r="B46" s="8"/>
      <c r="C46" s="8"/>
      <c r="D46" s="8"/>
      <c r="E46" s="8"/>
    </row>
    <row r="47" spans="2:5" s="7" customFormat="1" ht="15" x14ac:dyDescent="0.25">
      <c r="B47" s="8"/>
      <c r="C47" s="8"/>
      <c r="D47" s="8"/>
      <c r="E47" s="8"/>
    </row>
    <row r="48" spans="2:5" s="7" customFormat="1" ht="15" x14ac:dyDescent="0.25">
      <c r="B48" s="8"/>
      <c r="C48" s="8"/>
      <c r="D48" s="8"/>
      <c r="E48" s="8"/>
    </row>
    <row r="49" spans="2:5" s="7" customFormat="1" ht="15" x14ac:dyDescent="0.25">
      <c r="B49" s="8"/>
      <c r="C49" s="8"/>
      <c r="D49" s="8"/>
      <c r="E49" s="8"/>
    </row>
    <row r="50" spans="2:5" s="7" customFormat="1" ht="15" x14ac:dyDescent="0.25">
      <c r="B50" s="8"/>
      <c r="C50" s="8"/>
      <c r="D50" s="8"/>
      <c r="E50" s="8"/>
    </row>
    <row r="51" spans="2:5" s="7" customFormat="1" ht="15" x14ac:dyDescent="0.25">
      <c r="B51" s="8"/>
      <c r="C51" s="8"/>
      <c r="D51" s="8"/>
      <c r="E51" s="8"/>
    </row>
    <row r="52" spans="2:5" s="7" customFormat="1" ht="15" x14ac:dyDescent="0.25">
      <c r="B52" s="8"/>
      <c r="C52" s="8"/>
      <c r="D52" s="8"/>
      <c r="E52" s="8"/>
    </row>
    <row r="53" spans="2:5" s="7" customFormat="1" ht="15" x14ac:dyDescent="0.25">
      <c r="B53" s="8"/>
      <c r="C53" s="8"/>
      <c r="D53" s="8"/>
      <c r="E53" s="8"/>
    </row>
    <row r="54" spans="2:5" s="7" customFormat="1" ht="15" x14ac:dyDescent="0.25">
      <c r="B54" s="8"/>
      <c r="C54" s="8"/>
      <c r="D54" s="8"/>
      <c r="E54" s="8"/>
    </row>
    <row r="55" spans="2:5" s="7" customFormat="1" ht="15" x14ac:dyDescent="0.25">
      <c r="B55" s="8"/>
      <c r="C55" s="8"/>
      <c r="D55" s="8"/>
      <c r="E55" s="8"/>
    </row>
    <row r="56" spans="2:5" s="7" customFormat="1" ht="15" x14ac:dyDescent="0.25">
      <c r="B56" s="8"/>
      <c r="C56" s="8"/>
      <c r="D56" s="8"/>
      <c r="E56" s="8"/>
    </row>
    <row r="57" spans="2:5" s="7" customFormat="1" ht="15" x14ac:dyDescent="0.25">
      <c r="B57" s="8"/>
      <c r="C57" s="8"/>
      <c r="D57" s="8"/>
      <c r="E57" s="8"/>
    </row>
    <row r="58" spans="2:5" s="7" customFormat="1" ht="15" x14ac:dyDescent="0.25">
      <c r="B58" s="8"/>
      <c r="C58" s="8"/>
      <c r="D58" s="8"/>
      <c r="E58" s="8"/>
    </row>
    <row r="59" spans="2:5" s="7" customFormat="1" ht="15" x14ac:dyDescent="0.25">
      <c r="B59" s="8"/>
      <c r="C59" s="8"/>
      <c r="D59" s="8"/>
      <c r="E59" s="8"/>
    </row>
    <row r="60" spans="2:5" s="7" customFormat="1" ht="15" x14ac:dyDescent="0.25">
      <c r="B60" s="8"/>
      <c r="C60" s="8"/>
      <c r="D60" s="8"/>
      <c r="E60" s="8"/>
    </row>
    <row r="61" spans="2:5" s="7" customFormat="1" ht="15" x14ac:dyDescent="0.25">
      <c r="B61" s="8"/>
      <c r="C61" s="8"/>
      <c r="D61" s="8"/>
      <c r="E61" s="8"/>
    </row>
    <row r="62" spans="2:5" s="7" customFormat="1" ht="15" x14ac:dyDescent="0.25">
      <c r="B62" s="8"/>
      <c r="C62" s="8"/>
      <c r="D62" s="8"/>
      <c r="E62" s="8"/>
    </row>
    <row r="63" spans="2:5" s="7" customFormat="1" ht="15" x14ac:dyDescent="0.25">
      <c r="B63" s="8"/>
      <c r="C63" s="8"/>
      <c r="D63" s="8"/>
      <c r="E63" s="8"/>
    </row>
    <row r="64" spans="2:5" s="7" customFormat="1" ht="15" x14ac:dyDescent="0.25">
      <c r="B64" s="8"/>
      <c r="C64" s="8"/>
      <c r="D64" s="8"/>
      <c r="E64" s="8"/>
    </row>
    <row r="65" spans="2:5" s="7" customFormat="1" ht="15" x14ac:dyDescent="0.25">
      <c r="B65" s="8"/>
      <c r="C65" s="8"/>
      <c r="D65" s="8"/>
      <c r="E65" s="8"/>
    </row>
    <row r="66" spans="2:5" s="7" customFormat="1" ht="15" x14ac:dyDescent="0.25">
      <c r="B66" s="8"/>
      <c r="C66" s="8"/>
      <c r="D66" s="8"/>
      <c r="E66" s="8"/>
    </row>
    <row r="67" spans="2:5" s="7" customFormat="1" ht="15" x14ac:dyDescent="0.25">
      <c r="B67" s="8"/>
      <c r="C67" s="8"/>
      <c r="D67" s="8"/>
      <c r="E67" s="8"/>
    </row>
    <row r="68" spans="2:5" s="7" customFormat="1" ht="15" x14ac:dyDescent="0.25">
      <c r="B68" s="8"/>
      <c r="C68" s="8"/>
      <c r="D68" s="8"/>
      <c r="E68" s="8"/>
    </row>
    <row r="69" spans="2:5" s="7" customFormat="1" ht="15" x14ac:dyDescent="0.25">
      <c r="B69" s="8"/>
      <c r="C69" s="8"/>
      <c r="D69" s="8"/>
      <c r="E69" s="8"/>
    </row>
    <row r="70" spans="2:5" s="7" customFormat="1" ht="15" x14ac:dyDescent="0.25">
      <c r="B70" s="8"/>
      <c r="C70" s="8"/>
      <c r="D70" s="8"/>
      <c r="E70" s="8"/>
    </row>
    <row r="71" spans="2:5" s="7" customFormat="1" ht="15" x14ac:dyDescent="0.25">
      <c r="B71" s="8"/>
      <c r="C71" s="8"/>
      <c r="D71" s="8"/>
      <c r="E71" s="8"/>
    </row>
    <row r="72" spans="2:5" s="7" customFormat="1" ht="15" x14ac:dyDescent="0.25">
      <c r="B72" s="8"/>
      <c r="C72" s="8"/>
      <c r="D72" s="8"/>
      <c r="E72" s="8"/>
    </row>
    <row r="73" spans="2:5" s="7" customFormat="1" ht="15" x14ac:dyDescent="0.25">
      <c r="B73" s="8"/>
      <c r="C73" s="8"/>
      <c r="D73" s="8"/>
      <c r="E73" s="8"/>
    </row>
    <row r="74" spans="2:5" s="7" customFormat="1" ht="15" x14ac:dyDescent="0.25">
      <c r="B74" s="8"/>
      <c r="C74" s="8"/>
      <c r="D74" s="8"/>
      <c r="E74" s="8"/>
    </row>
    <row r="75" spans="2:5" s="7" customFormat="1" ht="15" x14ac:dyDescent="0.25">
      <c r="B75" s="8"/>
      <c r="C75" s="8"/>
      <c r="D75" s="8"/>
      <c r="E75" s="8"/>
    </row>
    <row r="76" spans="2:5" s="7" customFormat="1" ht="15" x14ac:dyDescent="0.25">
      <c r="B76" s="8"/>
      <c r="C76" s="8"/>
      <c r="D76" s="8"/>
      <c r="E76" s="8"/>
    </row>
    <row r="77" spans="2:5" s="7" customFormat="1" ht="15" x14ac:dyDescent="0.25">
      <c r="B77" s="8"/>
      <c r="C77" s="8"/>
      <c r="D77" s="8"/>
      <c r="E77" s="8"/>
    </row>
    <row r="78" spans="2:5" s="7" customFormat="1" ht="15" x14ac:dyDescent="0.25">
      <c r="B78" s="8"/>
      <c r="C78" s="8"/>
      <c r="D78" s="8"/>
      <c r="E78" s="8"/>
    </row>
    <row r="79" spans="2:5" s="7" customFormat="1" ht="15" x14ac:dyDescent="0.25">
      <c r="B79" s="8"/>
      <c r="C79" s="8"/>
      <c r="D79" s="8"/>
      <c r="E79" s="8"/>
    </row>
    <row r="80" spans="2:5" s="7" customFormat="1" ht="15" x14ac:dyDescent="0.25">
      <c r="B80" s="8"/>
      <c r="C80" s="8"/>
      <c r="D80" s="8"/>
      <c r="E80" s="8"/>
    </row>
    <row r="81" spans="2:5" s="7" customFormat="1" ht="15" x14ac:dyDescent="0.25">
      <c r="B81" s="8"/>
      <c r="C81" s="8"/>
      <c r="D81" s="8"/>
      <c r="E81" s="8"/>
    </row>
    <row r="82" spans="2:5" s="7" customFormat="1" ht="15" x14ac:dyDescent="0.25">
      <c r="B82" s="8"/>
      <c r="C82" s="8"/>
      <c r="D82" s="8"/>
      <c r="E82" s="8"/>
    </row>
    <row r="83" spans="2:5" s="7" customFormat="1" ht="15" x14ac:dyDescent="0.25">
      <c r="B83" s="8"/>
      <c r="C83" s="8"/>
      <c r="D83" s="8"/>
      <c r="E83" s="8"/>
    </row>
    <row r="84" spans="2:5" s="7" customFormat="1" ht="15" x14ac:dyDescent="0.25">
      <c r="B84" s="8"/>
      <c r="C84" s="8"/>
      <c r="D84" s="8"/>
      <c r="E84" s="8"/>
    </row>
    <row r="85" spans="2:5" s="7" customFormat="1" ht="15" x14ac:dyDescent="0.25">
      <c r="B85" s="8"/>
      <c r="C85" s="8"/>
      <c r="D85" s="8"/>
      <c r="E85" s="8"/>
    </row>
    <row r="86" spans="2:5" s="7" customFormat="1" ht="15" x14ac:dyDescent="0.25">
      <c r="B86" s="8"/>
      <c r="C86" s="8"/>
      <c r="D86" s="8"/>
      <c r="E86" s="8"/>
    </row>
    <row r="87" spans="2:5" s="7" customFormat="1" ht="15" x14ac:dyDescent="0.25">
      <c r="B87" s="8"/>
      <c r="C87" s="8"/>
      <c r="D87" s="8"/>
      <c r="E87" s="8"/>
    </row>
    <row r="88" spans="2:5" s="7" customFormat="1" ht="15" x14ac:dyDescent="0.25">
      <c r="B88" s="8"/>
      <c r="C88" s="8"/>
      <c r="D88" s="8"/>
      <c r="E88" s="8"/>
    </row>
    <row r="89" spans="2:5" s="7" customFormat="1" ht="15" x14ac:dyDescent="0.25">
      <c r="B89" s="8"/>
      <c r="C89" s="8"/>
      <c r="D89" s="8"/>
      <c r="E89" s="8"/>
    </row>
    <row r="90" spans="2:5" s="7" customFormat="1" ht="15" x14ac:dyDescent="0.25">
      <c r="B90" s="8"/>
      <c r="C90" s="8"/>
      <c r="D90" s="8"/>
      <c r="E90" s="8"/>
    </row>
    <row r="91" spans="2:5" s="7" customFormat="1" ht="15" x14ac:dyDescent="0.25">
      <c r="B91" s="8"/>
      <c r="C91" s="8"/>
      <c r="D91" s="8"/>
      <c r="E91" s="8"/>
    </row>
    <row r="92" spans="2:5" s="7" customFormat="1" ht="15" x14ac:dyDescent="0.25">
      <c r="B92" s="8"/>
      <c r="C92" s="8"/>
      <c r="D92" s="8"/>
      <c r="E92" s="8"/>
    </row>
    <row r="93" spans="2:5" s="7" customFormat="1" ht="15" x14ac:dyDescent="0.25">
      <c r="B93" s="8"/>
      <c r="C93" s="8"/>
      <c r="D93" s="8"/>
      <c r="E93" s="8"/>
    </row>
    <row r="94" spans="2:5" s="7" customFormat="1" ht="15" x14ac:dyDescent="0.25">
      <c r="B94" s="8"/>
      <c r="C94" s="8"/>
      <c r="D94" s="8"/>
      <c r="E94" s="8"/>
    </row>
    <row r="95" spans="2:5" s="7" customFormat="1" ht="15" x14ac:dyDescent="0.25">
      <c r="B95" s="8"/>
      <c r="C95" s="8"/>
      <c r="D95" s="8"/>
      <c r="E95" s="8"/>
    </row>
    <row r="96" spans="2:5" s="7" customFormat="1" ht="15" x14ac:dyDescent="0.25">
      <c r="B96" s="8"/>
      <c r="C96" s="8"/>
      <c r="D96" s="8"/>
      <c r="E96" s="8"/>
    </row>
    <row r="97" spans="2:5" s="7" customFormat="1" ht="15" x14ac:dyDescent="0.25">
      <c r="B97" s="8"/>
      <c r="C97" s="8"/>
      <c r="D97" s="8"/>
      <c r="E97" s="8"/>
    </row>
    <row r="98" spans="2:5" s="7" customFormat="1" ht="15" x14ac:dyDescent="0.25">
      <c r="B98" s="8"/>
      <c r="C98" s="8"/>
      <c r="D98" s="8"/>
      <c r="E98" s="8"/>
    </row>
  </sheetData>
  <mergeCells count="43">
    <mergeCell ref="B4:B6"/>
    <mergeCell ref="D4:D6"/>
    <mergeCell ref="E4:E6"/>
    <mergeCell ref="F4:F6"/>
    <mergeCell ref="G4:G6"/>
    <mergeCell ref="B1:L1"/>
    <mergeCell ref="C2:C3"/>
    <mergeCell ref="D2:D3"/>
    <mergeCell ref="E2:E3"/>
    <mergeCell ref="F2:L2"/>
    <mergeCell ref="B7:B9"/>
    <mergeCell ref="D7:D9"/>
    <mergeCell ref="E7:E9"/>
    <mergeCell ref="F7:F9"/>
    <mergeCell ref="G7:G9"/>
    <mergeCell ref="H4:H6"/>
    <mergeCell ref="I4:I6"/>
    <mergeCell ref="J4:J6"/>
    <mergeCell ref="K4:K6"/>
    <mergeCell ref="L4:L6"/>
    <mergeCell ref="B10:B12"/>
    <mergeCell ref="D10:D12"/>
    <mergeCell ref="E10:E12"/>
    <mergeCell ref="F10:F12"/>
    <mergeCell ref="G10:G12"/>
    <mergeCell ref="H7:H9"/>
    <mergeCell ref="I7:I9"/>
    <mergeCell ref="J7:J9"/>
    <mergeCell ref="K7:K9"/>
    <mergeCell ref="L7:L9"/>
    <mergeCell ref="H10:H12"/>
    <mergeCell ref="I10:I12"/>
    <mergeCell ref="J10:J12"/>
    <mergeCell ref="K10:K12"/>
    <mergeCell ref="L10:L12"/>
    <mergeCell ref="F14:F16"/>
    <mergeCell ref="D14:E16"/>
    <mergeCell ref="F23:F25"/>
    <mergeCell ref="F20:F22"/>
    <mergeCell ref="F17:F19"/>
    <mergeCell ref="D17:E19"/>
    <mergeCell ref="D20:E22"/>
    <mergeCell ref="D23:E25"/>
  </mergeCells>
  <pageMargins left="0.511811024" right="0.511811024" top="0.78740157499999996" bottom="0.78740157499999996" header="0.31496062000000002" footer="0.31496062000000002"/>
  <ignoredErrors>
    <ignoredError sqref="D4 D7 D10 F4:G12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9103c7-443e-48cb-987c-96d1ae469c4c">
      <Terms xmlns="http://schemas.microsoft.com/office/infopath/2007/PartnerControls"/>
    </lcf76f155ced4ddcb4097134ff3c332f>
    <TaxCatchAll xmlns="64c6e1c2-e844-4874-bd65-a66d57f92d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B3ED65997D54D8AFB377EE6DEB6D9" ma:contentTypeVersion="15" ma:contentTypeDescription="Create a new document." ma:contentTypeScope="" ma:versionID="8886de6a2e40f7caef5aecd8b42c20b0">
  <xsd:schema xmlns:xsd="http://www.w3.org/2001/XMLSchema" xmlns:xs="http://www.w3.org/2001/XMLSchema" xmlns:p="http://schemas.microsoft.com/office/2006/metadata/properties" xmlns:ns2="dc9103c7-443e-48cb-987c-96d1ae469c4c" xmlns:ns3="64c6e1c2-e844-4874-bd65-a66d57f92d8a" targetNamespace="http://schemas.microsoft.com/office/2006/metadata/properties" ma:root="true" ma:fieldsID="858bafa0637f5139ac16677f144b0fa9" ns2:_="" ns3:_="">
    <xsd:import namespace="dc9103c7-443e-48cb-987c-96d1ae469c4c"/>
    <xsd:import namespace="64c6e1c2-e844-4874-bd65-a66d57f92d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103c7-443e-48cb-987c-96d1ae469c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438315-f659-42f8-8e0c-a0d69b0404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6e1c2-e844-4874-bd65-a66d57f92d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d4a100-207f-443b-90f5-c035198a5bfd}" ma:internalName="TaxCatchAll" ma:showField="CatchAllData" ma:web="64c6e1c2-e844-4874-bd65-a66d57f92d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2960F-C9FE-47B8-AA01-393F9679F57E}">
  <ds:schemaRefs>
    <ds:schemaRef ds:uri="http://schemas.microsoft.com/office/2006/metadata/properties"/>
    <ds:schemaRef ds:uri="http://www.w3.org/2000/xmlns/"/>
    <ds:schemaRef ds:uri="dc9103c7-443e-48cb-987c-96d1ae469c4c"/>
    <ds:schemaRef ds:uri="http://schemas.microsoft.com/office/infopath/2007/PartnerControls"/>
    <ds:schemaRef ds:uri="64c6e1c2-e844-4874-bd65-a66d57f92d8a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E726307C-7BC2-45D1-8936-05875AC2E2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16F10C-551A-4ED7-B590-AE6745E891C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c9103c7-443e-48cb-987c-96d1ae469c4c"/>
    <ds:schemaRef ds:uri="64c6e1c2-e844-4874-bd65-a66d57f92d8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Cálculos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Fernandes, Fernando Ferrari</dc:creator>
  <cp:lastModifiedBy>Fernando Fernandes</cp:lastModifiedBy>
  <cp:lastPrinted>2023-07-25T12:22:26Z</cp:lastPrinted>
  <dcterms:created xsi:type="dcterms:W3CDTF">2023-07-21T19:01:45Z</dcterms:created>
  <dcterms:modified xsi:type="dcterms:W3CDTF">2024-09-21T21:51:29Z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0x01010007CB3ED65997D54D8AFB377EE6DEB6D9</vt:lpwstr>
  </property>
</Properties>
</file>