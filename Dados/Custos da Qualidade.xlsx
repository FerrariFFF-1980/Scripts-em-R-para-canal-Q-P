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<sst xmlns="http://schemas.openxmlformats.org/spreadsheetml/2006/main" count="66" uniqueCount="66">
  <si>
    <t xml:space="preserve">Custos da Qualidade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</si>
  <si>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</si>
  <si>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</si>
  <si>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</si>
  <si>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</si>
  <si>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</si>
  <si>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</si>
  <si>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</si>
  <si>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</si>
  <si>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</si>
  <si>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</si>
  <si>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</si>
  <si>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</si>
  <si>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</si>
  <si>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Custos de Prevenção</t>
  </si>
  <si>
    <t xml:space="preserve">Treinamento de operadores</t>
  </si>
  <si>
    <t xml:space="preserve">Desenvolvimento de FMEA</t>
  </si>
  <si>
    <t xml:space="preserve">Planejamento da qualidade</t>
  </si>
  <si>
    <t xml:space="preserve">Desenvolvimento de instruções de trabalho padronizadas</t>
  </si>
  <si>
    <t xml:space="preserve">Estudos de capacidade de processo</t>
  </si>
  <si>
    <t xml:space="preserve">Auditorias de processo</t>
  </si>
  <si>
    <t xml:space="preserve">Qualificação de fornecedores</t>
  </si>
  <si>
    <t xml:space="preserve">Implementação de poka-yoke</t>
  </si>
  <si>
    <t xml:space="preserve">Desenvolvimento e validação de métodos de medição</t>
  </si>
  <si>
    <t xml:space="preserve">Planejamento de manutenção preventiva</t>
  </si>
  <si>
    <t xml:space="preserve">Projetos de melhoria Lean/Six Sigma</t>
  </si>
  <si>
    <t xml:space="preserve">Revisões de projeto (Design Review)</t>
  </si>
  <si>
    <t xml:space="preserve">Custos de Avaliação</t>
  </si>
  <si>
    <t xml:space="preserve">Inspeção de recebimento</t>
  </si>
  <si>
    <t xml:space="preserve">Inspeção em processo</t>
  </si>
  <si>
    <t xml:space="preserve">Inspeção final de produto</t>
  </si>
  <si>
    <t xml:space="preserve">Testes laboratoriais</t>
  </si>
  <si>
    <t xml:space="preserve">Ensaios destrutivos e não destrutivos</t>
  </si>
  <si>
    <t xml:space="preserve">Auditorias de produto</t>
  </si>
  <si>
    <t xml:space="preserve">Calibração de instrumentos de medição</t>
  </si>
  <si>
    <t xml:space="preserve">Estudos de MSA</t>
  </si>
  <si>
    <t xml:space="preserve">Testes funcionais (end-of-line testing)</t>
  </si>
  <si>
    <t xml:space="preserve">Monitoramento por CEP</t>
  </si>
  <si>
    <t xml:space="preserve">Revisão de documentação técnica</t>
  </si>
  <si>
    <t xml:space="preserve">Verificação de embalagem e rotulagem</t>
  </si>
  <si>
    <t xml:space="preserve">Custos de Falhas Internas</t>
  </si>
  <si>
    <t xml:space="preserve">Retrabalho</t>
  </si>
  <si>
    <t xml:space="preserve">Refugo</t>
  </si>
  <si>
    <t xml:space="preserve">Paradas de linha por problema de qualidade</t>
  </si>
  <si>
    <t xml:space="preserve">Ajustes e retrabalhos em setup</t>
  </si>
  <si>
    <t xml:space="preserve">Perda de material</t>
  </si>
  <si>
    <t xml:space="preserve">Reinspeção após falha</t>
  </si>
  <si>
    <t xml:space="preserve">Investigação de causa raiz</t>
  </si>
  <si>
    <t xml:space="preserve">Downtime por não conformidade</t>
  </si>
  <si>
    <t xml:space="preserve">Reprocessamento</t>
  </si>
  <si>
    <t xml:space="preserve">Perda de produtividade</t>
  </si>
  <si>
    <t xml:space="preserve">Estoque bloqueado</t>
  </si>
  <si>
    <t xml:space="preserve">Custos de contenção interna</t>
  </si>
  <si>
    <t xml:space="preserve">Custos de Falhas Externas</t>
  </si>
  <si>
    <t xml:space="preserve">Garantias</t>
  </si>
  <si>
    <t xml:space="preserve">Devoluções de cliente</t>
  </si>
  <si>
    <t xml:space="preserve">Reclamações</t>
  </si>
  <si>
    <t xml:space="preserve">Recall de produto</t>
  </si>
  <si>
    <t xml:space="preserve">Assistência técnica em campo</t>
  </si>
  <si>
    <t xml:space="preserve">Multas contratuais</t>
  </si>
  <si>
    <t xml:space="preserve">Perda de cliente / market share</t>
  </si>
  <si>
    <t xml:space="preserve">Custos logísticos de retorno (frete reverso)</t>
  </si>
  <si>
    <t xml:space="preserve">Penalidades de OEM</t>
  </si>
  <si>
    <t xml:space="preserve">Suporte técnico emergencial</t>
  </si>
  <si>
    <t xml:space="preserve">Substituição de produto no cliente</t>
  </si>
  <si>
    <t xml:space="preserve">Custos Totais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</si>
</sst>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$-416]\ #,##0.00;[RED]\-[$R$-416]\ #,##0.00"/>
    <numFmt numFmtId="166" formatCode="[$R$-416]\ #,##0.00;[RED]\-[$R$-416]\ #,##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</font>
    <font>
      <b val="true"/>
      <sz val="10"/>
      <name val="Arial"/>
      <family val="2"/>
    </font>
    <font>
      <b val="true"/>
      <sz val="14"/>
      <name val="Arial"/>
      <family val="2"/>
    </font>
    <font>
      <b val="true"/>
      <i val="true"/>
      <sz val="14"/>
      <name val="Arial"/>
      <family val="2"/>
    </font>
    <font>
      <sz val="10"/>
      <name val="Times New Roman"/>
      <family val="1"/>
    </font>
    <font>
      <b val="true"/>
      <i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8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fals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62" activeCellId="0" sqref="F6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5.51"/>
    <col collapsed="false" customWidth="true" hidden="false" outlineLevel="0" max="13" min="2" style="2" width="12.79"/>
    <col collapsed="false" customWidth="true" hidden="false" outlineLevel="0" max="14" min="14" style="2" width="19.89"/>
    <col collapsed="false" customWidth="false" hidden="false" outlineLevel="0" max="16384" min="15" style="1" width="11.53"/>
  </cols>
  <sheetData>
    <row r="1" customFormat="false" ht="22.0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2.8" hidden="false" customHeight="false" outlineLevel="0" collapsed="false">
      <c r="A2" s="4"/>
      <c r="B2" s="5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6" t="s">
        <v>6</v>
      </c>
      <c r="H2" s="5" t="s">
        <v>7</v>
      </c>
      <c r="I2" s="5" t="s">
        <v>8</v>
      </c>
      <c r="J2" s="6" t="s">
        <v>9</v>
      </c>
      <c r="K2" s="5" t="s">
        <v>10</v>
      </c>
      <c r="L2" s="5" t="s">
        <v>11</v>
      </c>
      <c r="M2" s="6" t="s">
        <v>12</v>
      </c>
      <c r="N2" s="6" t="s">
        <v>13</v>
      </c>
    </row>
    <row r="3" customFormat="false" ht="17.35" hidden="false" customHeight="false" outlineLevel="0" collapsed="false">
      <c r="A3" s="7" t="s">
        <v>14</v>
      </c>
      <c r="B3" s="8"/>
      <c r="C3" s="8"/>
      <c r="D3" s="9"/>
      <c r="E3" s="8"/>
      <c r="F3" s="8"/>
      <c r="G3" s="9"/>
      <c r="H3" s="8"/>
      <c r="I3" s="8"/>
      <c r="J3" s="9"/>
      <c r="K3" s="8"/>
      <c r="L3" s="8"/>
      <c r="M3" s="9"/>
      <c r="N3" s="10" t="n">
        <f aca="false">SUM(N4:N15)</f>
        <v>360000</v>
      </c>
    </row>
    <row r="4" customFormat="false" ht="12.8" hidden="false" customHeight="false" outlineLevel="0" collapsed="false">
      <c r="A4" s="11" t="s">
        <v>15</v>
      </c>
      <c r="B4" s="12" t="n">
        <v>2250</v>
      </c>
      <c r="C4" s="13" t="n">
        <v>2700</v>
      </c>
      <c r="D4" s="14" t="n">
        <v>3000</v>
      </c>
      <c r="E4" s="13" t="n">
        <v>3300</v>
      </c>
      <c r="F4" s="13" t="n">
        <v>3750</v>
      </c>
      <c r="G4" s="14" t="n">
        <v>4200</v>
      </c>
      <c r="H4" s="13" t="n">
        <v>4800</v>
      </c>
      <c r="I4" s="13" t="n">
        <v>5250</v>
      </c>
      <c r="J4" s="14" t="n">
        <v>5700</v>
      </c>
      <c r="K4" s="13" t="n">
        <v>6000</v>
      </c>
      <c r="L4" s="13" t="n">
        <v>6300</v>
      </c>
      <c r="M4" s="14" t="n">
        <v>6750</v>
      </c>
      <c r="N4" s="15" t="n">
        <f aca="false">SUM(B4:M4)</f>
        <v>54000</v>
      </c>
    </row>
    <row r="5" customFormat="false" ht="12.8" hidden="false" customHeight="false" outlineLevel="0" collapsed="false">
      <c r="A5" s="11" t="s">
        <v>16</v>
      </c>
      <c r="B5" s="16" t="n">
        <v>1500</v>
      </c>
      <c r="C5" s="17" t="n">
        <v>1800</v>
      </c>
      <c r="D5" s="18" t="n">
        <v>2000</v>
      </c>
      <c r="E5" s="17" t="n">
        <v>2200</v>
      </c>
      <c r="F5" s="17" t="n">
        <v>2500</v>
      </c>
      <c r="G5" s="18" t="n">
        <v>2800</v>
      </c>
      <c r="H5" s="17" t="n">
        <v>3200</v>
      </c>
      <c r="I5" s="17" t="n">
        <v>3500</v>
      </c>
      <c r="J5" s="18" t="n">
        <v>3800</v>
      </c>
      <c r="K5" s="17" t="n">
        <v>4000</v>
      </c>
      <c r="L5" s="17" t="n">
        <v>4200</v>
      </c>
      <c r="M5" s="18" t="n">
        <v>4500</v>
      </c>
      <c r="N5" s="15" t="n">
        <f aca="false">SUM(B5:M5)</f>
        <v>36000</v>
      </c>
    </row>
    <row r="6" customFormat="false" ht="12.8" hidden="false" customHeight="false" outlineLevel="0" collapsed="false">
      <c r="A6" s="11" t="s">
        <v>17</v>
      </c>
      <c r="B6" s="16" t="n">
        <v>1200</v>
      </c>
      <c r="C6" s="17" t="n">
        <v>1440</v>
      </c>
      <c r="D6" s="18" t="n">
        <v>1600</v>
      </c>
      <c r="E6" s="17" t="n">
        <v>1760</v>
      </c>
      <c r="F6" s="17" t="n">
        <v>2000</v>
      </c>
      <c r="G6" s="18" t="n">
        <v>2240</v>
      </c>
      <c r="H6" s="17" t="n">
        <v>2560</v>
      </c>
      <c r="I6" s="17" t="n">
        <v>2800</v>
      </c>
      <c r="J6" s="18" t="n">
        <v>3040</v>
      </c>
      <c r="K6" s="17" t="n">
        <v>3200</v>
      </c>
      <c r="L6" s="17" t="n">
        <v>3360</v>
      </c>
      <c r="M6" s="18" t="n">
        <v>3600</v>
      </c>
      <c r="N6" s="15" t="n">
        <f aca="false">SUM(B6:M6)</f>
        <v>28800</v>
      </c>
    </row>
    <row r="7" customFormat="false" ht="23.85" hidden="false" customHeight="false" outlineLevel="0" collapsed="false">
      <c r="A7" s="11" t="s">
        <v>18</v>
      </c>
      <c r="B7" s="16" t="n">
        <v>1200</v>
      </c>
      <c r="C7" s="17" t="n">
        <v>1440</v>
      </c>
      <c r="D7" s="18" t="n">
        <v>1600</v>
      </c>
      <c r="E7" s="17" t="n">
        <v>1760</v>
      </c>
      <c r="F7" s="17" t="n">
        <v>2000</v>
      </c>
      <c r="G7" s="18" t="n">
        <v>2240</v>
      </c>
      <c r="H7" s="17" t="n">
        <v>2560</v>
      </c>
      <c r="I7" s="17" t="n">
        <v>2800</v>
      </c>
      <c r="J7" s="18" t="n">
        <v>3040</v>
      </c>
      <c r="K7" s="17" t="n">
        <v>3200</v>
      </c>
      <c r="L7" s="17" t="n">
        <v>3360</v>
      </c>
      <c r="M7" s="18" t="n">
        <v>3600</v>
      </c>
      <c r="N7" s="15" t="n">
        <f aca="false">SUM(B7:M7)</f>
        <v>28800</v>
      </c>
    </row>
    <row r="8" customFormat="false" ht="12.8" hidden="false" customHeight="false" outlineLevel="0" collapsed="false">
      <c r="A8" s="11" t="s">
        <v>19</v>
      </c>
      <c r="B8" s="16" t="n">
        <v>1200</v>
      </c>
      <c r="C8" s="17" t="n">
        <v>1440</v>
      </c>
      <c r="D8" s="18" t="n">
        <v>1600</v>
      </c>
      <c r="E8" s="17" t="n">
        <v>1760</v>
      </c>
      <c r="F8" s="17" t="n">
        <v>2000</v>
      </c>
      <c r="G8" s="18" t="n">
        <v>2240</v>
      </c>
      <c r="H8" s="17" t="n">
        <v>2560</v>
      </c>
      <c r="I8" s="17" t="n">
        <v>2800</v>
      </c>
      <c r="J8" s="18" t="n">
        <v>3040</v>
      </c>
      <c r="K8" s="17" t="n">
        <v>3200</v>
      </c>
      <c r="L8" s="17" t="n">
        <v>3360</v>
      </c>
      <c r="M8" s="18" t="n">
        <v>3600</v>
      </c>
      <c r="N8" s="15" t="n">
        <f aca="false">SUM(B8:M8)</f>
        <v>28800</v>
      </c>
    </row>
    <row r="9" customFormat="false" ht="12.8" hidden="false" customHeight="false" outlineLevel="0" collapsed="false">
      <c r="A9" s="11" t="s">
        <v>20</v>
      </c>
      <c r="B9" s="16" t="n">
        <v>1050</v>
      </c>
      <c r="C9" s="17" t="n">
        <v>1260</v>
      </c>
      <c r="D9" s="18" t="n">
        <v>1400</v>
      </c>
      <c r="E9" s="17" t="n">
        <v>1540</v>
      </c>
      <c r="F9" s="17" t="n">
        <v>1750</v>
      </c>
      <c r="G9" s="18" t="n">
        <v>1960</v>
      </c>
      <c r="H9" s="17" t="n">
        <v>2240</v>
      </c>
      <c r="I9" s="17" t="n">
        <v>2450</v>
      </c>
      <c r="J9" s="18" t="n">
        <v>2660</v>
      </c>
      <c r="K9" s="17" t="n">
        <v>2800</v>
      </c>
      <c r="L9" s="17" t="n">
        <v>2940</v>
      </c>
      <c r="M9" s="18" t="n">
        <v>3150</v>
      </c>
      <c r="N9" s="15" t="n">
        <f aca="false">SUM(B9:M9)</f>
        <v>25200</v>
      </c>
    </row>
    <row r="10" customFormat="false" ht="12.8" hidden="false" customHeight="false" outlineLevel="0" collapsed="false">
      <c r="A10" s="11" t="s">
        <v>21</v>
      </c>
      <c r="B10" s="16" t="n">
        <v>1500</v>
      </c>
      <c r="C10" s="17" t="n">
        <v>1800</v>
      </c>
      <c r="D10" s="18" t="n">
        <v>2000</v>
      </c>
      <c r="E10" s="17" t="n">
        <v>2200</v>
      </c>
      <c r="F10" s="17" t="n">
        <v>2500</v>
      </c>
      <c r="G10" s="18" t="n">
        <v>2800</v>
      </c>
      <c r="H10" s="17" t="n">
        <v>3200</v>
      </c>
      <c r="I10" s="17" t="n">
        <v>3500</v>
      </c>
      <c r="J10" s="18" t="n">
        <v>3800</v>
      </c>
      <c r="K10" s="17" t="n">
        <v>4000</v>
      </c>
      <c r="L10" s="17" t="n">
        <v>4200</v>
      </c>
      <c r="M10" s="18" t="n">
        <v>4500</v>
      </c>
      <c r="N10" s="15" t="n">
        <f aca="false">SUM(B10:M10)</f>
        <v>36000</v>
      </c>
    </row>
    <row r="11" customFormat="false" ht="12.8" hidden="false" customHeight="false" outlineLevel="0" collapsed="false">
      <c r="A11" s="11" t="s">
        <v>22</v>
      </c>
      <c r="B11" s="16" t="n">
        <v>1500</v>
      </c>
      <c r="C11" s="17" t="n">
        <v>1800</v>
      </c>
      <c r="D11" s="18" t="n">
        <v>2000</v>
      </c>
      <c r="E11" s="17" t="n">
        <v>2200</v>
      </c>
      <c r="F11" s="17" t="n">
        <v>2500</v>
      </c>
      <c r="G11" s="18" t="n">
        <v>2800</v>
      </c>
      <c r="H11" s="17" t="n">
        <v>3200</v>
      </c>
      <c r="I11" s="17" t="n">
        <v>3500</v>
      </c>
      <c r="J11" s="18" t="n">
        <v>3800</v>
      </c>
      <c r="K11" s="17" t="n">
        <v>4000</v>
      </c>
      <c r="L11" s="17" t="n">
        <v>4200</v>
      </c>
      <c r="M11" s="18" t="n">
        <v>4500</v>
      </c>
      <c r="N11" s="15" t="n">
        <f aca="false">SUM(B11:M11)</f>
        <v>36000</v>
      </c>
    </row>
    <row r="12" customFormat="false" ht="23.85" hidden="false" customHeight="false" outlineLevel="0" collapsed="false">
      <c r="A12" s="11" t="s">
        <v>23</v>
      </c>
      <c r="B12" s="16" t="n">
        <v>900</v>
      </c>
      <c r="C12" s="17" t="n">
        <v>1080</v>
      </c>
      <c r="D12" s="18" t="n">
        <v>1200</v>
      </c>
      <c r="E12" s="17" t="n">
        <v>1320</v>
      </c>
      <c r="F12" s="17" t="n">
        <v>1500</v>
      </c>
      <c r="G12" s="18" t="n">
        <v>1680</v>
      </c>
      <c r="H12" s="17" t="n">
        <v>1920</v>
      </c>
      <c r="I12" s="17" t="n">
        <v>2100</v>
      </c>
      <c r="J12" s="18" t="n">
        <v>2280</v>
      </c>
      <c r="K12" s="17" t="n">
        <v>2400</v>
      </c>
      <c r="L12" s="17" t="n">
        <v>2520</v>
      </c>
      <c r="M12" s="18" t="n">
        <v>2700</v>
      </c>
      <c r="N12" s="15" t="n">
        <f aca="false">SUM(B12:M12)</f>
        <v>21600</v>
      </c>
    </row>
    <row r="13" customFormat="false" ht="12.8" hidden="false" customHeight="false" outlineLevel="0" collapsed="false">
      <c r="A13" s="11" t="s">
        <v>24</v>
      </c>
      <c r="B13" s="16" t="n">
        <v>900</v>
      </c>
      <c r="C13" s="17" t="n">
        <v>1080</v>
      </c>
      <c r="D13" s="18" t="n">
        <v>1200</v>
      </c>
      <c r="E13" s="17" t="n">
        <v>1320</v>
      </c>
      <c r="F13" s="17" t="n">
        <v>1500</v>
      </c>
      <c r="G13" s="18" t="n">
        <v>1680</v>
      </c>
      <c r="H13" s="17" t="n">
        <v>1920</v>
      </c>
      <c r="I13" s="17" t="n">
        <v>2100</v>
      </c>
      <c r="J13" s="18" t="n">
        <v>2280</v>
      </c>
      <c r="K13" s="17" t="n">
        <v>2400</v>
      </c>
      <c r="L13" s="17" t="n">
        <v>2520</v>
      </c>
      <c r="M13" s="18" t="n">
        <v>2700</v>
      </c>
      <c r="N13" s="15" t="n">
        <f aca="false">SUM(B13:M13)</f>
        <v>21600</v>
      </c>
    </row>
    <row r="14" customFormat="false" ht="12.8" hidden="false" customHeight="false" outlineLevel="0" collapsed="false">
      <c r="A14" s="11" t="s">
        <v>25</v>
      </c>
      <c r="B14" s="16" t="n">
        <v>1050</v>
      </c>
      <c r="C14" s="17" t="n">
        <v>1260</v>
      </c>
      <c r="D14" s="18" t="n">
        <v>1400</v>
      </c>
      <c r="E14" s="17" t="n">
        <v>1540</v>
      </c>
      <c r="F14" s="17" t="n">
        <v>1750</v>
      </c>
      <c r="G14" s="18" t="n">
        <v>1960</v>
      </c>
      <c r="H14" s="17" t="n">
        <v>2240</v>
      </c>
      <c r="I14" s="17" t="n">
        <v>2450</v>
      </c>
      <c r="J14" s="18" t="n">
        <v>2660</v>
      </c>
      <c r="K14" s="17" t="n">
        <v>2800</v>
      </c>
      <c r="L14" s="17" t="n">
        <v>2940</v>
      </c>
      <c r="M14" s="18" t="n">
        <v>3150</v>
      </c>
      <c r="N14" s="15" t="n">
        <f aca="false">SUM(B14:M14)</f>
        <v>25200</v>
      </c>
    </row>
    <row r="15" customFormat="false" ht="12.8" hidden="false" customHeight="false" outlineLevel="0" collapsed="false">
      <c r="A15" s="11" t="s">
        <v>26</v>
      </c>
      <c r="B15" s="16" t="n">
        <v>750</v>
      </c>
      <c r="C15" s="17" t="n">
        <v>900</v>
      </c>
      <c r="D15" s="18" t="n">
        <v>1000</v>
      </c>
      <c r="E15" s="17" t="n">
        <v>1100</v>
      </c>
      <c r="F15" s="17" t="n">
        <v>1250</v>
      </c>
      <c r="G15" s="18" t="n">
        <v>1400</v>
      </c>
      <c r="H15" s="17" t="n">
        <v>1600</v>
      </c>
      <c r="I15" s="17" t="n">
        <v>1750</v>
      </c>
      <c r="J15" s="18" t="n">
        <v>1900</v>
      </c>
      <c r="K15" s="17" t="n">
        <v>2000</v>
      </c>
      <c r="L15" s="17" t="n">
        <v>2100</v>
      </c>
      <c r="M15" s="18" t="n">
        <v>2250</v>
      </c>
      <c r="N15" s="15" t="n">
        <f aca="false">SUM(B15:M15)</f>
        <v>18000</v>
      </c>
    </row>
    <row r="16" customFormat="false" ht="12.8" hidden="false" customHeight="false" outlineLevel="0" collapsed="false">
      <c r="A16" s="11"/>
      <c r="B16" s="19"/>
      <c r="C16" s="20"/>
      <c r="D16" s="21"/>
      <c r="E16" s="20"/>
      <c r="F16" s="20"/>
      <c r="G16" s="21"/>
      <c r="H16" s="20"/>
      <c r="I16" s="20"/>
      <c r="J16" s="21"/>
      <c r="K16" s="20"/>
      <c r="L16" s="20"/>
      <c r="M16" s="21"/>
      <c r="N16" s="22"/>
    </row>
    <row r="17" customFormat="false" ht="17.35" hidden="false" customHeight="false" outlineLevel="0" collapsed="false">
      <c r="A17" s="23" t="s">
        <v>27</v>
      </c>
      <c r="B17" s="24"/>
      <c r="C17" s="24"/>
      <c r="D17" s="25"/>
      <c r="E17" s="24"/>
      <c r="F17" s="24"/>
      <c r="G17" s="25"/>
      <c r="H17" s="24"/>
      <c r="I17" s="24"/>
      <c r="J17" s="25"/>
      <c r="K17" s="24"/>
      <c r="L17" s="24"/>
      <c r="M17" s="25"/>
      <c r="N17" s="10" t="n">
        <f aca="false">SUM(N18:N29)</f>
        <v>270500</v>
      </c>
    </row>
    <row r="18" customFormat="false" ht="12.8" hidden="false" customHeight="false" outlineLevel="0" collapsed="false">
      <c r="A18" s="11" t="s">
        <v>28</v>
      </c>
      <c r="B18" s="17" t="n">
        <v>3300</v>
      </c>
      <c r="C18" s="17" t="n">
        <v>3225</v>
      </c>
      <c r="D18" s="18" t="n">
        <v>3375</v>
      </c>
      <c r="E18" s="17" t="n">
        <v>3450</v>
      </c>
      <c r="F18" s="17" t="n">
        <v>3300</v>
      </c>
      <c r="G18" s="18" t="n">
        <v>3525</v>
      </c>
      <c r="H18" s="17" t="n">
        <v>3375</v>
      </c>
      <c r="I18" s="17" t="n">
        <v>3450</v>
      </c>
      <c r="J18" s="18" t="n">
        <v>3300</v>
      </c>
      <c r="K18" s="17" t="n">
        <v>3450</v>
      </c>
      <c r="L18" s="17" t="n">
        <v>3375</v>
      </c>
      <c r="M18" s="18" t="n">
        <v>3450</v>
      </c>
      <c r="N18" s="15" t="n">
        <f aca="false">SUM(B18:M18)</f>
        <v>40575</v>
      </c>
    </row>
    <row r="19" customFormat="false" ht="12.8" hidden="false" customHeight="false" outlineLevel="0" collapsed="false">
      <c r="A19" s="11" t="s">
        <v>29</v>
      </c>
      <c r="B19" s="17" t="n">
        <v>4400</v>
      </c>
      <c r="C19" s="17" t="n">
        <v>4300</v>
      </c>
      <c r="D19" s="18" t="n">
        <v>4500</v>
      </c>
      <c r="E19" s="17" t="n">
        <v>4600</v>
      </c>
      <c r="F19" s="17" t="n">
        <v>4400</v>
      </c>
      <c r="G19" s="18" t="n">
        <v>4700</v>
      </c>
      <c r="H19" s="17" t="n">
        <v>4500</v>
      </c>
      <c r="I19" s="17" t="n">
        <v>4600</v>
      </c>
      <c r="J19" s="18" t="n">
        <v>4400</v>
      </c>
      <c r="K19" s="17" t="n">
        <v>4600</v>
      </c>
      <c r="L19" s="17" t="n">
        <v>4500</v>
      </c>
      <c r="M19" s="18" t="n">
        <v>4600</v>
      </c>
      <c r="N19" s="15" t="n">
        <f aca="false">SUM(B19:M19)</f>
        <v>54100</v>
      </c>
    </row>
    <row r="20" customFormat="false" ht="12.8" hidden="false" customHeight="false" outlineLevel="0" collapsed="false">
      <c r="A20" s="11" t="s">
        <v>30</v>
      </c>
      <c r="B20" s="17" t="n">
        <v>3300</v>
      </c>
      <c r="C20" s="17" t="n">
        <v>3225</v>
      </c>
      <c r="D20" s="18" t="n">
        <v>3375</v>
      </c>
      <c r="E20" s="17" t="n">
        <v>3450</v>
      </c>
      <c r="F20" s="17" t="n">
        <v>3300</v>
      </c>
      <c r="G20" s="18" t="n">
        <v>3525</v>
      </c>
      <c r="H20" s="17" t="n">
        <v>3375</v>
      </c>
      <c r="I20" s="17" t="n">
        <v>3450</v>
      </c>
      <c r="J20" s="18" t="n">
        <v>3300</v>
      </c>
      <c r="K20" s="17" t="n">
        <v>3450</v>
      </c>
      <c r="L20" s="17" t="n">
        <v>3375</v>
      </c>
      <c r="M20" s="18" t="n">
        <v>3450</v>
      </c>
      <c r="N20" s="15" t="n">
        <f aca="false">SUM(B20:M20)</f>
        <v>40575</v>
      </c>
    </row>
    <row r="21" customFormat="false" ht="12.8" hidden="false" customHeight="false" outlineLevel="0" collapsed="false">
      <c r="A21" s="11" t="s">
        <v>31</v>
      </c>
      <c r="B21" s="17" t="n">
        <v>2200</v>
      </c>
      <c r="C21" s="17" t="n">
        <v>2150</v>
      </c>
      <c r="D21" s="18" t="n">
        <v>2250</v>
      </c>
      <c r="E21" s="17" t="n">
        <v>2300</v>
      </c>
      <c r="F21" s="17" t="n">
        <v>2200</v>
      </c>
      <c r="G21" s="18" t="n">
        <v>2350</v>
      </c>
      <c r="H21" s="17" t="n">
        <v>2250</v>
      </c>
      <c r="I21" s="17" t="n">
        <v>2300</v>
      </c>
      <c r="J21" s="18" t="n">
        <v>2200</v>
      </c>
      <c r="K21" s="17" t="n">
        <v>2300</v>
      </c>
      <c r="L21" s="17" t="n">
        <v>2250</v>
      </c>
      <c r="M21" s="18" t="n">
        <v>2300</v>
      </c>
      <c r="N21" s="15" t="n">
        <f aca="false">SUM(B21:M21)</f>
        <v>27050</v>
      </c>
    </row>
    <row r="22" customFormat="false" ht="12.8" hidden="false" customHeight="false" outlineLevel="0" collapsed="false">
      <c r="A22" s="11" t="s">
        <v>32</v>
      </c>
      <c r="B22" s="17" t="n">
        <v>1760</v>
      </c>
      <c r="C22" s="17" t="n">
        <v>1720</v>
      </c>
      <c r="D22" s="18" t="n">
        <v>1800</v>
      </c>
      <c r="E22" s="17" t="n">
        <v>1840</v>
      </c>
      <c r="F22" s="17" t="n">
        <v>1760</v>
      </c>
      <c r="G22" s="18" t="n">
        <v>1880</v>
      </c>
      <c r="H22" s="17" t="n">
        <v>1800</v>
      </c>
      <c r="I22" s="17" t="n">
        <v>1840</v>
      </c>
      <c r="J22" s="18" t="n">
        <v>1760</v>
      </c>
      <c r="K22" s="17" t="n">
        <v>1840</v>
      </c>
      <c r="L22" s="17" t="n">
        <v>1800</v>
      </c>
      <c r="M22" s="18" t="n">
        <v>1840</v>
      </c>
      <c r="N22" s="15" t="n">
        <f aca="false">SUM(B22:M22)</f>
        <v>21640</v>
      </c>
    </row>
    <row r="23" customFormat="false" ht="12.8" hidden="false" customHeight="false" outlineLevel="0" collapsed="false">
      <c r="A23" s="11" t="s">
        <v>33</v>
      </c>
      <c r="B23" s="17" t="n">
        <v>1100</v>
      </c>
      <c r="C23" s="17" t="n">
        <v>1075</v>
      </c>
      <c r="D23" s="18" t="n">
        <v>1125</v>
      </c>
      <c r="E23" s="17" t="n">
        <v>1150</v>
      </c>
      <c r="F23" s="17" t="n">
        <v>1100</v>
      </c>
      <c r="G23" s="18" t="n">
        <v>1175</v>
      </c>
      <c r="H23" s="17" t="n">
        <v>1125</v>
      </c>
      <c r="I23" s="17" t="n">
        <v>1150</v>
      </c>
      <c r="J23" s="18" t="n">
        <v>1100</v>
      </c>
      <c r="K23" s="17" t="n">
        <v>1150</v>
      </c>
      <c r="L23" s="17" t="n">
        <v>1125</v>
      </c>
      <c r="M23" s="18" t="n">
        <v>1150</v>
      </c>
      <c r="N23" s="15" t="n">
        <f aca="false">SUM(B23:M23)</f>
        <v>13525</v>
      </c>
    </row>
    <row r="24" customFormat="false" ht="12.8" hidden="false" customHeight="false" outlineLevel="0" collapsed="false">
      <c r="A24" s="11" t="s">
        <v>34</v>
      </c>
      <c r="B24" s="17" t="n">
        <v>2200</v>
      </c>
      <c r="C24" s="17" t="n">
        <v>2150</v>
      </c>
      <c r="D24" s="18" t="n">
        <v>2250</v>
      </c>
      <c r="E24" s="17" t="n">
        <v>2300</v>
      </c>
      <c r="F24" s="17" t="n">
        <v>2200</v>
      </c>
      <c r="G24" s="18" t="n">
        <v>2350</v>
      </c>
      <c r="H24" s="17" t="n">
        <v>2250</v>
      </c>
      <c r="I24" s="17" t="n">
        <v>2300</v>
      </c>
      <c r="J24" s="18" t="n">
        <v>2200</v>
      </c>
      <c r="K24" s="17" t="n">
        <v>2300</v>
      </c>
      <c r="L24" s="17" t="n">
        <v>2250</v>
      </c>
      <c r="M24" s="18" t="n">
        <v>2300</v>
      </c>
      <c r="N24" s="15" t="n">
        <f aca="false">SUM(B24:M24)</f>
        <v>27050</v>
      </c>
    </row>
    <row r="25" customFormat="false" ht="12.8" hidden="false" customHeight="false" outlineLevel="0" collapsed="false">
      <c r="A25" s="11" t="s">
        <v>35</v>
      </c>
      <c r="B25" s="17" t="n">
        <v>1100</v>
      </c>
      <c r="C25" s="17" t="n">
        <v>1075</v>
      </c>
      <c r="D25" s="18" t="n">
        <v>1125</v>
      </c>
      <c r="E25" s="17" t="n">
        <v>1150</v>
      </c>
      <c r="F25" s="17" t="n">
        <v>1100</v>
      </c>
      <c r="G25" s="18" t="n">
        <v>1175</v>
      </c>
      <c r="H25" s="17" t="n">
        <v>1125</v>
      </c>
      <c r="I25" s="17" t="n">
        <v>1150</v>
      </c>
      <c r="J25" s="18" t="n">
        <v>1100</v>
      </c>
      <c r="K25" s="17" t="n">
        <v>1150</v>
      </c>
      <c r="L25" s="17" t="n">
        <v>1125</v>
      </c>
      <c r="M25" s="18" t="n">
        <v>1150</v>
      </c>
      <c r="N25" s="15" t="n">
        <f aca="false">SUM(B25:M25)</f>
        <v>13525</v>
      </c>
    </row>
    <row r="26" customFormat="false" ht="12.8" hidden="false" customHeight="false" outlineLevel="0" collapsed="false">
      <c r="A26" s="11" t="s">
        <v>36</v>
      </c>
      <c r="B26" s="17" t="n">
        <v>1100</v>
      </c>
      <c r="C26" s="17" t="n">
        <v>1075</v>
      </c>
      <c r="D26" s="18" t="n">
        <v>1125</v>
      </c>
      <c r="E26" s="17" t="n">
        <v>1150</v>
      </c>
      <c r="F26" s="17" t="n">
        <v>1100</v>
      </c>
      <c r="G26" s="18" t="n">
        <v>1175</v>
      </c>
      <c r="H26" s="17" t="n">
        <v>1125</v>
      </c>
      <c r="I26" s="17" t="n">
        <v>1150</v>
      </c>
      <c r="J26" s="18" t="n">
        <v>1100</v>
      </c>
      <c r="K26" s="17" t="n">
        <v>1150</v>
      </c>
      <c r="L26" s="17" t="n">
        <v>1125</v>
      </c>
      <c r="M26" s="18" t="n">
        <v>1150</v>
      </c>
      <c r="N26" s="15" t="n">
        <f aca="false">SUM(B26:M26)</f>
        <v>13525</v>
      </c>
    </row>
    <row r="27" customFormat="false" ht="12.8" hidden="false" customHeight="false" outlineLevel="0" collapsed="false">
      <c r="A27" s="11" t="s">
        <v>37</v>
      </c>
      <c r="B27" s="17" t="n">
        <v>660</v>
      </c>
      <c r="C27" s="17" t="n">
        <v>645</v>
      </c>
      <c r="D27" s="18" t="n">
        <v>675</v>
      </c>
      <c r="E27" s="17" t="n">
        <v>690</v>
      </c>
      <c r="F27" s="17" t="n">
        <v>660</v>
      </c>
      <c r="G27" s="18" t="n">
        <v>705</v>
      </c>
      <c r="H27" s="17" t="n">
        <v>675</v>
      </c>
      <c r="I27" s="17" t="n">
        <v>690</v>
      </c>
      <c r="J27" s="18" t="n">
        <v>660</v>
      </c>
      <c r="K27" s="17" t="n">
        <v>690</v>
      </c>
      <c r="L27" s="17" t="n">
        <v>675</v>
      </c>
      <c r="M27" s="18" t="n">
        <v>690</v>
      </c>
      <c r="N27" s="15" t="n">
        <f aca="false">SUM(B27:M27)</f>
        <v>8115</v>
      </c>
    </row>
    <row r="28" customFormat="false" ht="12.8" hidden="false" customHeight="false" outlineLevel="0" collapsed="false">
      <c r="A28" s="11" t="s">
        <v>38</v>
      </c>
      <c r="B28" s="17" t="n">
        <v>440</v>
      </c>
      <c r="C28" s="17" t="n">
        <v>430</v>
      </c>
      <c r="D28" s="18" t="n">
        <v>450</v>
      </c>
      <c r="E28" s="17" t="n">
        <v>460</v>
      </c>
      <c r="F28" s="17" t="n">
        <v>440</v>
      </c>
      <c r="G28" s="18" t="n">
        <v>470</v>
      </c>
      <c r="H28" s="17" t="n">
        <v>450</v>
      </c>
      <c r="I28" s="17" t="n">
        <v>460</v>
      </c>
      <c r="J28" s="18" t="n">
        <v>440</v>
      </c>
      <c r="K28" s="17" t="n">
        <v>460</v>
      </c>
      <c r="L28" s="17" t="n">
        <v>450</v>
      </c>
      <c r="M28" s="18" t="n">
        <v>460</v>
      </c>
      <c r="N28" s="15" t="n">
        <f aca="false">SUM(B28:M28)</f>
        <v>5410</v>
      </c>
    </row>
    <row r="29" customFormat="false" ht="12.8" hidden="false" customHeight="false" outlineLevel="0" collapsed="false">
      <c r="A29" s="11" t="s">
        <v>39</v>
      </c>
      <c r="B29" s="17" t="n">
        <v>440</v>
      </c>
      <c r="C29" s="17" t="n">
        <v>430</v>
      </c>
      <c r="D29" s="18" t="n">
        <v>450</v>
      </c>
      <c r="E29" s="17" t="n">
        <v>460</v>
      </c>
      <c r="F29" s="17" t="n">
        <v>440</v>
      </c>
      <c r="G29" s="18" t="n">
        <v>470</v>
      </c>
      <c r="H29" s="17" t="n">
        <v>450</v>
      </c>
      <c r="I29" s="17" t="n">
        <v>460</v>
      </c>
      <c r="J29" s="18" t="n">
        <v>440</v>
      </c>
      <c r="K29" s="17" t="n">
        <v>460</v>
      </c>
      <c r="L29" s="17" t="n">
        <v>450</v>
      </c>
      <c r="M29" s="18" t="n">
        <v>460</v>
      </c>
      <c r="N29" s="15" t="n">
        <f aca="false">SUM(B29:M29)</f>
        <v>5410</v>
      </c>
    </row>
    <row r="30" customFormat="false" ht="12.8" hidden="false" customHeight="false" outlineLevel="0" collapsed="false">
      <c r="A30" s="11"/>
      <c r="B30" s="20"/>
      <c r="C30" s="20"/>
      <c r="D30" s="21"/>
      <c r="E30" s="20"/>
      <c r="F30" s="20"/>
      <c r="G30" s="21"/>
      <c r="H30" s="20"/>
      <c r="I30" s="20"/>
      <c r="J30" s="21"/>
      <c r="K30" s="20"/>
      <c r="L30" s="20"/>
      <c r="M30" s="21"/>
      <c r="N30" s="22"/>
    </row>
    <row r="31" customFormat="false" ht="17.35" hidden="false" customHeight="false" outlineLevel="0" collapsed="false">
      <c r="A31" s="23" t="s">
        <v>40</v>
      </c>
      <c r="B31" s="24"/>
      <c r="C31" s="24"/>
      <c r="D31" s="25"/>
      <c r="E31" s="24"/>
      <c r="F31" s="24"/>
      <c r="G31" s="25"/>
      <c r="H31" s="24"/>
      <c r="I31" s="24"/>
      <c r="J31" s="25"/>
      <c r="K31" s="24"/>
      <c r="L31" s="24"/>
      <c r="M31" s="25"/>
      <c r="N31" s="10" t="n">
        <f aca="false">SUM(N32:N43)</f>
        <v>450000</v>
      </c>
    </row>
    <row r="32" customFormat="false" ht="12.8" hidden="false" customHeight="false" outlineLevel="0" collapsed="false">
      <c r="A32" s="11" t="s">
        <v>41</v>
      </c>
      <c r="B32" s="17" t="n">
        <v>12000</v>
      </c>
      <c r="C32" s="17" t="n">
        <v>11600</v>
      </c>
      <c r="D32" s="18" t="n">
        <v>11000</v>
      </c>
      <c r="E32" s="17" t="n">
        <v>10400</v>
      </c>
      <c r="F32" s="17" t="n">
        <v>10000</v>
      </c>
      <c r="G32" s="18" t="n">
        <v>9000</v>
      </c>
      <c r="H32" s="17" t="n">
        <v>6000</v>
      </c>
      <c r="I32" s="17" t="n">
        <v>5000</v>
      </c>
      <c r="J32" s="18" t="n">
        <v>4400</v>
      </c>
      <c r="K32" s="17" t="n">
        <v>4000</v>
      </c>
      <c r="L32" s="17" t="n">
        <v>3600</v>
      </c>
      <c r="M32" s="18" t="n">
        <v>3000</v>
      </c>
      <c r="N32" s="15" t="n">
        <f aca="false">SUM(B32:M32)</f>
        <v>90000</v>
      </c>
    </row>
    <row r="33" customFormat="false" ht="12.8" hidden="false" customHeight="false" outlineLevel="0" collapsed="false">
      <c r="A33" s="11" t="s">
        <v>42</v>
      </c>
      <c r="B33" s="17" t="n">
        <v>15000</v>
      </c>
      <c r="C33" s="17" t="n">
        <v>14500</v>
      </c>
      <c r="D33" s="18" t="n">
        <v>13750</v>
      </c>
      <c r="E33" s="17" t="n">
        <v>13000</v>
      </c>
      <c r="F33" s="17" t="n">
        <v>12500</v>
      </c>
      <c r="G33" s="18" t="n">
        <v>11250</v>
      </c>
      <c r="H33" s="17" t="n">
        <v>7500</v>
      </c>
      <c r="I33" s="17" t="n">
        <v>6250</v>
      </c>
      <c r="J33" s="18" t="n">
        <v>5500</v>
      </c>
      <c r="K33" s="17" t="n">
        <v>5000</v>
      </c>
      <c r="L33" s="17" t="n">
        <v>4500</v>
      </c>
      <c r="M33" s="18" t="n">
        <v>3750</v>
      </c>
      <c r="N33" s="15" t="n">
        <f aca="false">SUM(B33:M33)</f>
        <v>112500</v>
      </c>
    </row>
    <row r="34" customFormat="false" ht="23.85" hidden="false" customHeight="false" outlineLevel="0" collapsed="false">
      <c r="A34" s="11" t="s">
        <v>43</v>
      </c>
      <c r="B34" s="17" t="n">
        <v>9000</v>
      </c>
      <c r="C34" s="17" t="n">
        <v>8700</v>
      </c>
      <c r="D34" s="18" t="n">
        <v>8250</v>
      </c>
      <c r="E34" s="17" t="n">
        <v>7800</v>
      </c>
      <c r="F34" s="17" t="n">
        <v>7500</v>
      </c>
      <c r="G34" s="18" t="n">
        <v>6750</v>
      </c>
      <c r="H34" s="17" t="n">
        <v>4500</v>
      </c>
      <c r="I34" s="17" t="n">
        <v>3750</v>
      </c>
      <c r="J34" s="18" t="n">
        <v>3300</v>
      </c>
      <c r="K34" s="17" t="n">
        <v>3000</v>
      </c>
      <c r="L34" s="17" t="n">
        <v>2700</v>
      </c>
      <c r="M34" s="18" t="n">
        <v>2250</v>
      </c>
      <c r="N34" s="15" t="n">
        <f aca="false">SUM(B34:M34)</f>
        <v>67500</v>
      </c>
    </row>
    <row r="35" customFormat="false" ht="12.8" hidden="false" customHeight="false" outlineLevel="0" collapsed="false">
      <c r="A35" s="11" t="s">
        <v>44</v>
      </c>
      <c r="B35" s="17" t="n">
        <v>3000</v>
      </c>
      <c r="C35" s="17" t="n">
        <v>2900</v>
      </c>
      <c r="D35" s="18" t="n">
        <v>2750</v>
      </c>
      <c r="E35" s="17" t="n">
        <v>2600</v>
      </c>
      <c r="F35" s="17" t="n">
        <v>2500</v>
      </c>
      <c r="G35" s="18" t="n">
        <v>2250</v>
      </c>
      <c r="H35" s="17" t="n">
        <v>1500</v>
      </c>
      <c r="I35" s="17" t="n">
        <v>1250</v>
      </c>
      <c r="J35" s="18" t="n">
        <v>1100</v>
      </c>
      <c r="K35" s="17" t="n">
        <v>1000</v>
      </c>
      <c r="L35" s="17" t="n">
        <v>900</v>
      </c>
      <c r="M35" s="18" t="n">
        <v>750</v>
      </c>
      <c r="N35" s="15" t="n">
        <f aca="false">SUM(B35:M35)</f>
        <v>22500</v>
      </c>
    </row>
    <row r="36" customFormat="false" ht="12.8" hidden="false" customHeight="false" outlineLevel="0" collapsed="false">
      <c r="A36" s="11" t="s">
        <v>45</v>
      </c>
      <c r="B36" s="17" t="n">
        <v>6000</v>
      </c>
      <c r="C36" s="17" t="n">
        <v>5800</v>
      </c>
      <c r="D36" s="18" t="n">
        <v>5500</v>
      </c>
      <c r="E36" s="17" t="n">
        <v>5200</v>
      </c>
      <c r="F36" s="17" t="n">
        <v>5000</v>
      </c>
      <c r="G36" s="18" t="n">
        <v>4500</v>
      </c>
      <c r="H36" s="17" t="n">
        <v>3000</v>
      </c>
      <c r="I36" s="17" t="n">
        <v>2500</v>
      </c>
      <c r="J36" s="18" t="n">
        <v>2200</v>
      </c>
      <c r="K36" s="17" t="n">
        <v>2000</v>
      </c>
      <c r="L36" s="17" t="n">
        <v>1800</v>
      </c>
      <c r="M36" s="18" t="n">
        <v>1500</v>
      </c>
      <c r="N36" s="15" t="n">
        <f aca="false">SUM(B36:M36)</f>
        <v>45000</v>
      </c>
    </row>
    <row r="37" customFormat="false" ht="12.8" hidden="false" customHeight="false" outlineLevel="0" collapsed="false">
      <c r="A37" s="11" t="s">
        <v>46</v>
      </c>
      <c r="B37" s="17" t="n">
        <v>3000</v>
      </c>
      <c r="C37" s="17" t="n">
        <v>2900</v>
      </c>
      <c r="D37" s="18" t="n">
        <v>2750</v>
      </c>
      <c r="E37" s="17" t="n">
        <v>2600</v>
      </c>
      <c r="F37" s="17" t="n">
        <v>2500</v>
      </c>
      <c r="G37" s="18" t="n">
        <v>2250</v>
      </c>
      <c r="H37" s="17" t="n">
        <v>1500</v>
      </c>
      <c r="I37" s="17" t="n">
        <v>1250</v>
      </c>
      <c r="J37" s="18" t="n">
        <v>1100</v>
      </c>
      <c r="K37" s="17" t="n">
        <v>1000</v>
      </c>
      <c r="L37" s="17" t="n">
        <v>900</v>
      </c>
      <c r="M37" s="18" t="n">
        <v>750</v>
      </c>
      <c r="N37" s="15" t="n">
        <f aca="false">SUM(B37:M37)</f>
        <v>22500</v>
      </c>
    </row>
    <row r="38" customFormat="false" ht="12.8" hidden="false" customHeight="false" outlineLevel="0" collapsed="false">
      <c r="A38" s="11" t="s">
        <v>47</v>
      </c>
      <c r="B38" s="17" t="n">
        <v>3000</v>
      </c>
      <c r="C38" s="17" t="n">
        <v>2900</v>
      </c>
      <c r="D38" s="18" t="n">
        <v>2750</v>
      </c>
      <c r="E38" s="17" t="n">
        <v>2600</v>
      </c>
      <c r="F38" s="17" t="n">
        <v>2500</v>
      </c>
      <c r="G38" s="18" t="n">
        <v>2250</v>
      </c>
      <c r="H38" s="17" t="n">
        <v>1500</v>
      </c>
      <c r="I38" s="17" t="n">
        <v>1250</v>
      </c>
      <c r="J38" s="18" t="n">
        <v>1100</v>
      </c>
      <c r="K38" s="17" t="n">
        <v>1000</v>
      </c>
      <c r="L38" s="17" t="n">
        <v>900</v>
      </c>
      <c r="M38" s="18" t="n">
        <v>750</v>
      </c>
      <c r="N38" s="15" t="n">
        <f aca="false">SUM(B38:M38)</f>
        <v>22500</v>
      </c>
    </row>
    <row r="39" customFormat="false" ht="12.8" hidden="false" customHeight="false" outlineLevel="0" collapsed="false">
      <c r="A39" s="11" t="s">
        <v>48</v>
      </c>
      <c r="B39" s="17" t="n">
        <v>3000</v>
      </c>
      <c r="C39" s="17" t="n">
        <v>2900</v>
      </c>
      <c r="D39" s="18" t="n">
        <v>2750</v>
      </c>
      <c r="E39" s="17" t="n">
        <v>2600</v>
      </c>
      <c r="F39" s="17" t="n">
        <v>2500</v>
      </c>
      <c r="G39" s="18" t="n">
        <v>2250</v>
      </c>
      <c r="H39" s="17" t="n">
        <v>1500</v>
      </c>
      <c r="I39" s="17" t="n">
        <v>1250</v>
      </c>
      <c r="J39" s="18" t="n">
        <v>1100</v>
      </c>
      <c r="K39" s="17" t="n">
        <v>1000</v>
      </c>
      <c r="L39" s="17" t="n">
        <v>900</v>
      </c>
      <c r="M39" s="18" t="n">
        <v>750</v>
      </c>
      <c r="N39" s="15" t="n">
        <f aca="false">SUM(B39:M39)</f>
        <v>22500</v>
      </c>
    </row>
    <row r="40" customFormat="false" ht="12.8" hidden="false" customHeight="false" outlineLevel="0" collapsed="false">
      <c r="A40" s="11" t="s">
        <v>49</v>
      </c>
      <c r="B40" s="17" t="n">
        <v>1800</v>
      </c>
      <c r="C40" s="17" t="n">
        <v>1740</v>
      </c>
      <c r="D40" s="18" t="n">
        <v>1650</v>
      </c>
      <c r="E40" s="17" t="n">
        <v>1560</v>
      </c>
      <c r="F40" s="17" t="n">
        <v>1500</v>
      </c>
      <c r="G40" s="18" t="n">
        <v>1350</v>
      </c>
      <c r="H40" s="17" t="n">
        <v>900</v>
      </c>
      <c r="I40" s="17" t="n">
        <v>750</v>
      </c>
      <c r="J40" s="18" t="n">
        <v>660</v>
      </c>
      <c r="K40" s="17" t="n">
        <v>600</v>
      </c>
      <c r="L40" s="17" t="n">
        <v>540</v>
      </c>
      <c r="M40" s="18" t="n">
        <v>450</v>
      </c>
      <c r="N40" s="15" t="n">
        <f aca="false">SUM(B40:M40)</f>
        <v>13500</v>
      </c>
    </row>
    <row r="41" customFormat="false" ht="12.8" hidden="false" customHeight="false" outlineLevel="0" collapsed="false">
      <c r="A41" s="11" t="s">
        <v>50</v>
      </c>
      <c r="B41" s="17" t="n">
        <v>1800</v>
      </c>
      <c r="C41" s="17" t="n">
        <v>1740</v>
      </c>
      <c r="D41" s="18" t="n">
        <v>1650</v>
      </c>
      <c r="E41" s="17" t="n">
        <v>1560</v>
      </c>
      <c r="F41" s="17" t="n">
        <v>1500</v>
      </c>
      <c r="G41" s="18" t="n">
        <v>1350</v>
      </c>
      <c r="H41" s="17" t="n">
        <v>900</v>
      </c>
      <c r="I41" s="17" t="n">
        <v>750</v>
      </c>
      <c r="J41" s="18" t="n">
        <v>660</v>
      </c>
      <c r="K41" s="17" t="n">
        <v>600</v>
      </c>
      <c r="L41" s="17" t="n">
        <v>540</v>
      </c>
      <c r="M41" s="18" t="n">
        <v>450</v>
      </c>
      <c r="N41" s="15" t="n">
        <f aca="false">SUM(B41:M41)</f>
        <v>13500</v>
      </c>
    </row>
    <row r="42" customFormat="false" ht="12.8" hidden="false" customHeight="false" outlineLevel="0" collapsed="false">
      <c r="A42" s="11" t="s">
        <v>51</v>
      </c>
      <c r="B42" s="17" t="n">
        <v>1200</v>
      </c>
      <c r="C42" s="17" t="n">
        <v>1160</v>
      </c>
      <c r="D42" s="18" t="n">
        <v>1100</v>
      </c>
      <c r="E42" s="17" t="n">
        <v>1040</v>
      </c>
      <c r="F42" s="17" t="n">
        <v>1000</v>
      </c>
      <c r="G42" s="18" t="n">
        <v>900</v>
      </c>
      <c r="H42" s="17" t="n">
        <v>600</v>
      </c>
      <c r="I42" s="17" t="n">
        <v>500</v>
      </c>
      <c r="J42" s="18" t="n">
        <v>440</v>
      </c>
      <c r="K42" s="17" t="n">
        <v>400</v>
      </c>
      <c r="L42" s="17" t="n">
        <v>360</v>
      </c>
      <c r="M42" s="18" t="n">
        <v>300</v>
      </c>
      <c r="N42" s="15" t="n">
        <f aca="false">SUM(B42:M42)</f>
        <v>9000</v>
      </c>
    </row>
    <row r="43" customFormat="false" ht="12.8" hidden="false" customHeight="false" outlineLevel="0" collapsed="false">
      <c r="A43" s="11" t="s">
        <v>52</v>
      </c>
      <c r="B43" s="17" t="n">
        <v>1200</v>
      </c>
      <c r="C43" s="17" t="n">
        <v>1160</v>
      </c>
      <c r="D43" s="18" t="n">
        <v>1100</v>
      </c>
      <c r="E43" s="17" t="n">
        <v>1040</v>
      </c>
      <c r="F43" s="17" t="n">
        <v>1000</v>
      </c>
      <c r="G43" s="18" t="n">
        <v>900</v>
      </c>
      <c r="H43" s="17" t="n">
        <v>600</v>
      </c>
      <c r="I43" s="17" t="n">
        <v>500</v>
      </c>
      <c r="J43" s="18" t="n">
        <v>440</v>
      </c>
      <c r="K43" s="17" t="n">
        <v>400</v>
      </c>
      <c r="L43" s="17" t="n">
        <v>360</v>
      </c>
      <c r="M43" s="18" t="n">
        <v>300</v>
      </c>
      <c r="N43" s="15" t="n">
        <f aca="false">SUM(B43:M43)</f>
        <v>9000</v>
      </c>
    </row>
    <row r="44" customFormat="false" ht="12.8" hidden="false" customHeight="false" outlineLevel="0" collapsed="false">
      <c r="A44" s="26"/>
      <c r="B44" s="20"/>
      <c r="C44" s="20"/>
      <c r="D44" s="21"/>
      <c r="E44" s="20"/>
      <c r="F44" s="20"/>
      <c r="G44" s="21"/>
      <c r="H44" s="20"/>
      <c r="I44" s="20"/>
      <c r="J44" s="21"/>
      <c r="K44" s="20"/>
      <c r="L44" s="20"/>
      <c r="M44" s="21"/>
      <c r="N44" s="22"/>
    </row>
    <row r="45" customFormat="false" ht="17.35" hidden="false" customHeight="false" outlineLevel="0" collapsed="false">
      <c r="A45" s="23" t="s">
        <v>53</v>
      </c>
      <c r="B45" s="27"/>
      <c r="C45" s="27"/>
      <c r="D45" s="28"/>
      <c r="E45" s="27"/>
      <c r="F45" s="27"/>
      <c r="G45" s="28"/>
      <c r="H45" s="27"/>
      <c r="I45" s="27"/>
      <c r="J45" s="28"/>
      <c r="K45" s="27"/>
      <c r="L45" s="27"/>
      <c r="M45" s="28"/>
      <c r="N45" s="10" t="n">
        <f aca="false">SUM(N46:N57)</f>
        <v>393000</v>
      </c>
    </row>
    <row r="46" customFormat="false" ht="12.8" hidden="false" customHeight="false" outlineLevel="0" collapsed="false">
      <c r="A46" s="11" t="s">
        <v>54</v>
      </c>
      <c r="B46" s="17" t="n">
        <v>11250</v>
      </c>
      <c r="C46" s="17" t="n">
        <v>10750</v>
      </c>
      <c r="D46" s="18" t="n">
        <v>10500</v>
      </c>
      <c r="E46" s="17" t="n">
        <v>10000</v>
      </c>
      <c r="F46" s="17" t="n">
        <v>9500</v>
      </c>
      <c r="G46" s="18" t="n">
        <v>8750</v>
      </c>
      <c r="H46" s="17" t="n">
        <v>7500</v>
      </c>
      <c r="I46" s="17" t="n">
        <v>7000</v>
      </c>
      <c r="J46" s="18" t="n">
        <v>6500</v>
      </c>
      <c r="K46" s="17" t="n">
        <v>6000</v>
      </c>
      <c r="L46" s="17" t="n">
        <v>5500</v>
      </c>
      <c r="M46" s="18" t="n">
        <v>5000</v>
      </c>
      <c r="N46" s="15" t="n">
        <f aca="false">SUM(B46:M46)</f>
        <v>98250</v>
      </c>
    </row>
    <row r="47" customFormat="false" ht="12.8" hidden="false" customHeight="false" outlineLevel="0" collapsed="false">
      <c r="A47" s="11" t="s">
        <v>55</v>
      </c>
      <c r="B47" s="17" t="n">
        <v>6750</v>
      </c>
      <c r="C47" s="17" t="n">
        <v>6450</v>
      </c>
      <c r="D47" s="18" t="n">
        <v>6300</v>
      </c>
      <c r="E47" s="17" t="n">
        <v>6000</v>
      </c>
      <c r="F47" s="17" t="n">
        <v>5700</v>
      </c>
      <c r="G47" s="18" t="n">
        <v>5250</v>
      </c>
      <c r="H47" s="17" t="n">
        <v>4500</v>
      </c>
      <c r="I47" s="17" t="n">
        <v>4200</v>
      </c>
      <c r="J47" s="18" t="n">
        <v>3900</v>
      </c>
      <c r="K47" s="17" t="n">
        <v>3600</v>
      </c>
      <c r="L47" s="17" t="n">
        <v>3300</v>
      </c>
      <c r="M47" s="18" t="n">
        <v>3000</v>
      </c>
      <c r="N47" s="15" t="n">
        <f aca="false">SUM(B47:M47)</f>
        <v>58950</v>
      </c>
    </row>
    <row r="48" customFormat="false" ht="12.8" hidden="false" customHeight="false" outlineLevel="0" collapsed="false">
      <c r="A48" s="11" t="s">
        <v>56</v>
      </c>
      <c r="B48" s="17" t="n">
        <v>4500</v>
      </c>
      <c r="C48" s="17" t="n">
        <v>4300</v>
      </c>
      <c r="D48" s="18" t="n">
        <v>4200</v>
      </c>
      <c r="E48" s="17" t="n">
        <v>4000</v>
      </c>
      <c r="F48" s="17" t="n">
        <v>3800</v>
      </c>
      <c r="G48" s="18" t="n">
        <v>3500</v>
      </c>
      <c r="H48" s="17" t="n">
        <v>3000</v>
      </c>
      <c r="I48" s="17" t="n">
        <v>2800</v>
      </c>
      <c r="J48" s="18" t="n">
        <v>2600</v>
      </c>
      <c r="K48" s="17" t="n">
        <v>2400</v>
      </c>
      <c r="L48" s="17" t="n">
        <v>2200</v>
      </c>
      <c r="M48" s="18" t="n">
        <v>2000</v>
      </c>
      <c r="N48" s="15" t="n">
        <f aca="false">SUM(B48:M48)</f>
        <v>39300</v>
      </c>
    </row>
    <row r="49" customFormat="false" ht="12.8" hidden="false" customHeight="false" outlineLevel="0" collapsed="false">
      <c r="A49" s="11" t="s">
        <v>57</v>
      </c>
      <c r="B49" s="17" t="n">
        <v>2250</v>
      </c>
      <c r="C49" s="17" t="n">
        <v>2150</v>
      </c>
      <c r="D49" s="18" t="n">
        <v>2100</v>
      </c>
      <c r="E49" s="17" t="n">
        <v>2000</v>
      </c>
      <c r="F49" s="17" t="n">
        <v>1900</v>
      </c>
      <c r="G49" s="18" t="n">
        <v>1750</v>
      </c>
      <c r="H49" s="17" t="n">
        <v>1500</v>
      </c>
      <c r="I49" s="17" t="n">
        <v>1400</v>
      </c>
      <c r="J49" s="18" t="n">
        <v>1300</v>
      </c>
      <c r="K49" s="17" t="n">
        <v>1200</v>
      </c>
      <c r="L49" s="17" t="n">
        <v>1100</v>
      </c>
      <c r="M49" s="18" t="n">
        <v>1000</v>
      </c>
      <c r="N49" s="15" t="n">
        <f aca="false">SUM(B49:M49)</f>
        <v>19650</v>
      </c>
    </row>
    <row r="50" customFormat="false" ht="12.8" hidden="false" customHeight="false" outlineLevel="0" collapsed="false">
      <c r="A50" s="11" t="s">
        <v>58</v>
      </c>
      <c r="B50" s="17" t="n">
        <v>4500</v>
      </c>
      <c r="C50" s="17" t="n">
        <v>4300</v>
      </c>
      <c r="D50" s="18" t="n">
        <v>4200</v>
      </c>
      <c r="E50" s="17" t="n">
        <v>4000</v>
      </c>
      <c r="F50" s="17" t="n">
        <v>3800</v>
      </c>
      <c r="G50" s="18" t="n">
        <v>3500</v>
      </c>
      <c r="H50" s="17" t="n">
        <v>3000</v>
      </c>
      <c r="I50" s="17" t="n">
        <v>2800</v>
      </c>
      <c r="J50" s="18" t="n">
        <v>2600</v>
      </c>
      <c r="K50" s="17" t="n">
        <v>2400</v>
      </c>
      <c r="L50" s="17" t="n">
        <v>2200</v>
      </c>
      <c r="M50" s="18" t="n">
        <v>2000</v>
      </c>
      <c r="N50" s="15" t="n">
        <f aca="false">SUM(B50:M50)</f>
        <v>39300</v>
      </c>
    </row>
    <row r="51" customFormat="false" ht="12.8" hidden="false" customHeight="false" outlineLevel="0" collapsed="false">
      <c r="A51" s="11" t="s">
        <v>59</v>
      </c>
      <c r="B51" s="17" t="n">
        <v>2250</v>
      </c>
      <c r="C51" s="17" t="n">
        <v>2150</v>
      </c>
      <c r="D51" s="18" t="n">
        <v>2100</v>
      </c>
      <c r="E51" s="17" t="n">
        <v>2000</v>
      </c>
      <c r="F51" s="17" t="n">
        <v>1900</v>
      </c>
      <c r="G51" s="18" t="n">
        <v>1750</v>
      </c>
      <c r="H51" s="17" t="n">
        <v>1500</v>
      </c>
      <c r="I51" s="17" t="n">
        <v>1400</v>
      </c>
      <c r="J51" s="18" t="n">
        <v>1300</v>
      </c>
      <c r="K51" s="17" t="n">
        <v>1200</v>
      </c>
      <c r="L51" s="17" t="n">
        <v>1100</v>
      </c>
      <c r="M51" s="18" t="n">
        <v>1000</v>
      </c>
      <c r="N51" s="15" t="n">
        <f aca="false">SUM(B51:M51)</f>
        <v>19650</v>
      </c>
    </row>
    <row r="52" customFormat="false" ht="12.8" hidden="false" customHeight="false" outlineLevel="0" collapsed="false">
      <c r="A52" s="11" t="s">
        <v>60</v>
      </c>
      <c r="B52" s="17" t="n">
        <v>4500</v>
      </c>
      <c r="C52" s="17" t="n">
        <v>4300</v>
      </c>
      <c r="D52" s="18" t="n">
        <v>4200</v>
      </c>
      <c r="E52" s="17" t="n">
        <v>4000</v>
      </c>
      <c r="F52" s="17" t="n">
        <v>3800</v>
      </c>
      <c r="G52" s="18" t="n">
        <v>3500</v>
      </c>
      <c r="H52" s="17" t="n">
        <v>3000</v>
      </c>
      <c r="I52" s="17" t="n">
        <v>2800</v>
      </c>
      <c r="J52" s="18" t="n">
        <v>2600</v>
      </c>
      <c r="K52" s="17" t="n">
        <v>2400</v>
      </c>
      <c r="L52" s="17" t="n">
        <v>2200</v>
      </c>
      <c r="M52" s="18" t="n">
        <v>2000</v>
      </c>
      <c r="N52" s="15" t="n">
        <f aca="false">SUM(B52:M52)</f>
        <v>39300</v>
      </c>
    </row>
    <row r="53" customFormat="false" ht="12.8" hidden="false" customHeight="false" outlineLevel="0" collapsed="false">
      <c r="A53" s="11" t="s">
        <v>61</v>
      </c>
      <c r="B53" s="17" t="n">
        <v>2250</v>
      </c>
      <c r="C53" s="17" t="n">
        <v>2150</v>
      </c>
      <c r="D53" s="18" t="n">
        <v>2100</v>
      </c>
      <c r="E53" s="17" t="n">
        <v>2000</v>
      </c>
      <c r="F53" s="17" t="n">
        <v>1900</v>
      </c>
      <c r="G53" s="18" t="n">
        <v>1750</v>
      </c>
      <c r="H53" s="17" t="n">
        <v>1500</v>
      </c>
      <c r="I53" s="17" t="n">
        <v>1400</v>
      </c>
      <c r="J53" s="18" t="n">
        <v>1300</v>
      </c>
      <c r="K53" s="17" t="n">
        <v>1200</v>
      </c>
      <c r="L53" s="17" t="n">
        <v>1100</v>
      </c>
      <c r="M53" s="18" t="n">
        <v>1000</v>
      </c>
      <c r="N53" s="15" t="n">
        <f aca="false">SUM(B53:M53)</f>
        <v>19650</v>
      </c>
    </row>
    <row r="54" customFormat="false" ht="12.8" hidden="false" customHeight="false" outlineLevel="0" collapsed="false">
      <c r="A54" s="11" t="s">
        <v>62</v>
      </c>
      <c r="B54" s="17" t="n">
        <v>2250</v>
      </c>
      <c r="C54" s="17" t="n">
        <v>2150</v>
      </c>
      <c r="D54" s="18" t="n">
        <v>2100</v>
      </c>
      <c r="E54" s="17" t="n">
        <v>2000</v>
      </c>
      <c r="F54" s="17" t="n">
        <v>1900</v>
      </c>
      <c r="G54" s="18" t="n">
        <v>1750</v>
      </c>
      <c r="H54" s="17" t="n">
        <v>1500</v>
      </c>
      <c r="I54" s="17" t="n">
        <v>1400</v>
      </c>
      <c r="J54" s="18" t="n">
        <v>1300</v>
      </c>
      <c r="K54" s="17" t="n">
        <v>1200</v>
      </c>
      <c r="L54" s="17" t="n">
        <v>1100</v>
      </c>
      <c r="M54" s="18" t="n">
        <v>1000</v>
      </c>
      <c r="N54" s="15" t="n">
        <f aca="false">SUM(B54:M54)</f>
        <v>19650</v>
      </c>
    </row>
    <row r="55" customFormat="false" ht="12.8" hidden="false" customHeight="false" outlineLevel="0" collapsed="false">
      <c r="A55" s="11" t="s">
        <v>63</v>
      </c>
      <c r="B55" s="17" t="n">
        <v>2250</v>
      </c>
      <c r="C55" s="17" t="n">
        <v>2150</v>
      </c>
      <c r="D55" s="18" t="n">
        <v>2100</v>
      </c>
      <c r="E55" s="17" t="n">
        <v>2000</v>
      </c>
      <c r="F55" s="17" t="n">
        <v>1900</v>
      </c>
      <c r="G55" s="18" t="n">
        <v>1750</v>
      </c>
      <c r="H55" s="17" t="n">
        <v>1500</v>
      </c>
      <c r="I55" s="17" t="n">
        <v>1400</v>
      </c>
      <c r="J55" s="18" t="n">
        <v>1300</v>
      </c>
      <c r="K55" s="17" t="n">
        <v>1200</v>
      </c>
      <c r="L55" s="17" t="n">
        <v>1100</v>
      </c>
      <c r="M55" s="18" t="n">
        <v>1000</v>
      </c>
      <c r="N55" s="15" t="n">
        <f aca="false">SUM(B55:M55)</f>
        <v>19650</v>
      </c>
    </row>
    <row r="56" customFormat="false" ht="12.8" hidden="false" customHeight="false" outlineLevel="0" collapsed="false">
      <c r="A56" s="29" t="s">
        <v>64</v>
      </c>
      <c r="B56" s="30" t="n">
        <v>2250</v>
      </c>
      <c r="C56" s="30" t="n">
        <v>2150</v>
      </c>
      <c r="D56" s="31" t="n">
        <v>2100</v>
      </c>
      <c r="E56" s="30" t="n">
        <v>2000</v>
      </c>
      <c r="F56" s="30" t="n">
        <v>1900</v>
      </c>
      <c r="G56" s="31" t="n">
        <v>1750</v>
      </c>
      <c r="H56" s="30" t="n">
        <v>1500</v>
      </c>
      <c r="I56" s="30" t="n">
        <v>1400</v>
      </c>
      <c r="J56" s="31" t="n">
        <v>1300</v>
      </c>
      <c r="K56" s="30" t="n">
        <v>1200</v>
      </c>
      <c r="L56" s="30" t="n">
        <v>1100</v>
      </c>
      <c r="M56" s="31" t="n">
        <v>1000</v>
      </c>
      <c r="N56" s="32" t="n">
        <f aca="false">SUM(B56:M56)</f>
        <v>19650</v>
      </c>
    </row>
    <row r="57" customFormat="false" ht="12.8" hidden="false" customHeight="false" outlineLevel="0" collapsed="false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4"/>
    </row>
    <row r="58" customFormat="false" ht="12.8" hidden="false" customHeight="false" outlineLevel="0" collapsed="false">
      <c r="M58" s="35" t="s">
        <v>65</v>
      </c>
      <c r="N58" s="36" t="n">
        <f aca="false">SUM(N45,N31,N17,N3)</f>
        <v>1473500</v>
      </c>
    </row>
  </sheetData>
  <mergeCells count="1">
    <mergeCell ref="A1:N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2026-04-11T11:18:55Z</dcterms:created>
  <dc:creator/>
  <dc:description/>
  <dc:language>pt-BR</dc:language>
  <cp:lastModifiedBy/>
  <dcterms:modified xsi:type="dcterms:W3CDTF">2026-04-11T12:55:48Z</dcterms:modified>
  <cp:revision>3</cp:revision>
  <dc:subject/>
  <dc:title/>
</cp:coreProperties>
</file>